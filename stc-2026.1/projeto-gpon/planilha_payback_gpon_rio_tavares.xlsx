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e939ef546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missas" sheetId="1" r:id="R64c33a4b8af04ab5"/>
    <x:sheet xmlns:r="http://schemas.openxmlformats.org/officeDocument/2006/relationships" name="Payback" sheetId="2" r:id="R3c78bb7345464327"/>
    <x:sheet xmlns:r="http://schemas.openxmlformats.org/officeDocument/2006/relationships" name="Resumo" sheetId="3" r:id="R25acd07fb7884f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R$ #,##0.00;[Red](R$ #,##0.00);-"/>
    <x:numFmt numFmtId="201" formatCode="0.0%"/>
    <x:numFmt numFmtId="202" formatCode="0"/>
    <x:numFmt numFmtId="203" formatCode="#,##0"/>
    <x:numFmt numFmtId="204" formatCode="R$ #,##0;[Red](R$ #,##0);-"/>
  </x:numFmts>
  <x:fonts count="5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sz val="11"/>
      <x:color rgb="0000FF"/>
      <x:name val="Carlito"/>
    </x:font>
    <x:font>
      <x:sz val="11"/>
      <x:color rgb="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3D5E"/>
      </x:patternFill>
    </x:fill>
    <x:fill>
      <x:patternFill patternType="solid">
        <x:fgColor rgb="115E59"/>
      </x:patternFill>
    </x:fill>
    <x:fill>
      <x:patternFill patternType="solid">
        <x:fgColor rgb="FFF2CC"/>
      </x:patternFill>
    </x:fill>
    <x:fill>
      <x:patternFill patternType="solid">
        <x:fgColor rgb="E0F2FE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0" fontId="3" fillId="4" borderId="0" xfId="0" applyNumberFormat="1" applyFont="1" applyFill="1" applyBorder="1"/>
    <x:xf numFmtId="200" fontId="3" fillId="4" borderId="1" xfId="0" applyNumberFormat="1" applyFont="1" applyFill="1" applyBorder="1"/>
    <x:xf numFmtId="200" fontId="4" fillId="4" borderId="0" xfId="0" applyNumberFormat="1" applyFont="1" applyFill="1" applyBorder="1"/>
    <x:xf numFmtId="200" fontId="4" fillId="4" borderId="1" xfId="0" applyNumberFormat="1" applyFont="1" applyFill="1" applyBorder="1"/>
    <x:xf numFmtId="200" fontId="4" fillId="5" borderId="0" xfId="0" applyNumberFormat="1" applyFont="1" applyFill="1" applyBorder="1"/>
    <x:xf numFmtId="200" fontId="3" fillId="5" borderId="0" xfId="0" applyNumberFormat="1" applyFont="1" applyFill="1" applyBorder="1"/>
    <x:xf numFmtId="200" fontId="4" fillId="5" borderId="1" xfId="0" applyNumberFormat="1" applyFont="1" applyFill="1" applyBorder="1"/>
    <x:xf numFmtId="200" fontId="3" fillId="5" borderId="1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202" fontId="0" fillId="5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32a51063145ec" /><Relationship Type="http://schemas.openxmlformats.org/officeDocument/2006/relationships/theme" Target="/xl/theme/theme1.xml" Id="R878f110002344c72" /><Relationship Type="http://schemas.openxmlformats.org/officeDocument/2006/relationships/sharedStrings" Target="/xl/sharedStrings.xml" Id="R6aa37642f9914e47" /><Relationship Type="http://schemas.openxmlformats.org/officeDocument/2006/relationships/worksheet" Target="/xl/worksheets/sheet1.xml" Id="R64c33a4b8af04ab5" /><Relationship Type="http://schemas.openxmlformats.org/officeDocument/2006/relationships/worksheet" Target="/xl/worksheets/sheet2.xml" Id="R3c78bb7345464327" /><Relationship Type="http://schemas.openxmlformats.org/officeDocument/2006/relationships/worksheet" Target="/xl/worksheets/sheet3.xml" Id="R25acd07fb7884f8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445cb48bc2f4537" /><Relationship Type="http://schemas.openxmlformats.org/officeDocument/2006/relationships/chart" Target="/xl/drawings/charts/chart2.xml" Id="R129fd81798a7458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Evolução da Receita e Fluxo Acumulado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/>
              <c:ptCount val="1"/>
              <c:pt idx="0">
                <c:v>0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Crescimento da Base de Clientes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Clientes</c:v>
          </c:tx>
          <c:cat>
            <c:strRef>
              <c:f>'Payback'!$A$2:$A$61</c:f>
              <c:strCache>
                <c:ptCount val="0"/>
              </c:strCache>
            </c:strRef>
          </c:cat>
          <c:val>
            <c:numRef>
              <c:f>'Payback'!$B$2:$B$61</c:f>
              <c:numCache>
                <c:formatCode>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</xdr:row>
      <xdr:rowOff>0</xdr:rowOff>
    </xdr:from>
    <xdr:to>
      <xdr:col>22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445cb48bc2f4537"/>
        </a:graphicData>
      </a:graphic>
    </xdr:graphicFrame>
    <xdr:clientData/>
  </xdr:twoCellAnchor>
  <xdr:twoCellAnchor>
    <xdr:from>
      <xdr:col>13</xdr:col>
      <xdr:colOff>0</xdr:colOff>
      <xdr:row>21</xdr:row>
      <xdr:rowOff>0</xdr:rowOff>
    </xdr:from>
    <xdr:to>
      <xdr:col>22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9fd81798a7458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emissasTabela" displayName="PremissasTabela" ref="A2:D38" headerRowCount="1">
  <x:tableColumns count="4">
    <x:tableColumn id="1" name="Categoria"/>
    <x:tableColumn id="2" name="Item"/>
    <x:tableColumn id="3" name="Valor"/>
    <x:tableColumn id="4" name="Observação"/>
  </x:tableColumns>
  <x:tableStyleInfo name="TableStyleMedium2" showRowStripes="1"/>
</x:table>
</file>

<file path=xl/tables/table2.xml><?xml version="1.0" encoding="utf-8"?>
<x:table xmlns:x="http://schemas.openxmlformats.org/spreadsheetml/2006/main" id="2" name="PaybackTabela" displayName="PaybackTabela" ref="A1:L61" headerRowCount="1">
  <x:tableColumns count="12">
    <x:tableColumn id="1" name="Mês"/>
    <x:tableColumn id="2" name="Clientes"/>
    <x:tableColumn id="3" name="Novos clientes"/>
    <x:tableColumn id="4" name="Receita bruta (R$)"/>
    <x:tableColumn id="5" name="Receita líquida (R$)"/>
    <x:tableColumn id="6" name="Impostos (R$)"/>
    <x:tableColumn id="7" name="Inadimplência (R$)"/>
    <x:tableColumn id="8" name="Custos fixos (R$)"/>
    <x:tableColumn id="9" name="CAPEX ativações (R$)"/>
    <x:tableColumn id="10" name="Fluxo operacional (R$)"/>
    <x:tableColumn id="11" name="Fluxo total do mês (R$)"/>
    <x:tableColumn id="12" name="Fluxo acumulado (R$)"/>
  </x:tableColumns>
  <x:tableStyleInfo name="TableStyleMedium2" showRowStripes="1"/>
</x:table>
</file>

<file path=xl/tables/table3.xml><?xml version="1.0" encoding="utf-8"?>
<x:table xmlns:x="http://schemas.openxmlformats.org/spreadsheetml/2006/main" id="3" name="ResumoTabela" displayName="ResumoTabela" ref="A2:D14" headerRowCount="1">
  <x:tableColumns count="4">
    <x:tableColumn id="1" name="Indicador"/>
    <x:tableColumn id="2" name="Valor"/>
    <x:tableColumn id="3" name="Unidade"/>
    <x:tableColumn id="4" name="Comentá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6095e3b7434e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06b735dc6f442de" /><Relationship Type="http://schemas.openxmlformats.org/officeDocument/2006/relationships/table" Target="/xl/tables/table2.xml" Id="Rdb65638b134b4c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580c13ceff411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8" hidden="0" customWidth="1"/>
  </x:cols>
  <x:sheetData>
    <x:row r="1">
      <x:c r="A1" s="6" t="str">
        <x:v>Premissas Operacionais e Financeiras</x:v>
      </x:c>
      <x:c r="B1" s="6" t="str"/>
      <x:c r="C1" s="6" t="str"/>
      <x:c r="D1" s="6" t="str"/>
    </x:row>
    <x:row r="2">
      <x:c r="A2" s="10" t="str">
        <x:v>Categoria</x:v>
      </x:c>
      <x:c r="B2" s="10" t="str">
        <x:v>Item</x:v>
      </x:c>
      <x:c r="C2" s="10" t="str">
        <x:v>Valor</x:v>
      </x:c>
      <x:c r="D2" s="10" t="str">
        <x:v>Observação</x:v>
      </x:c>
    </x:row>
    <x:row r="3">
      <x:c r="A3" t="str">
        <x:v>Receita</x:v>
      </x:c>
      <x:c r="B3" t="str">
        <x:v>Ticket médio mensal (R$)</x:v>
      </x:c>
      <x:c r="C3" s="30" t="n">
        <x:v>119</x:v>
      </x:c>
      <x:c r="D3" t="str">
        <x:v>ARPU mensal por assinante</x:v>
      </x:c>
    </x:row>
    <x:row r="4">
      <x:c r="A4" t="str">
        <x:v>Receita</x:v>
      </x:c>
      <x:c r="B4" t="str">
        <x:v>Taxa de instalação cobrada (R$)</x:v>
      </x:c>
      <x:c r="C4" s="24" t="n">
        <x:v>0</x:v>
      </x:c>
      <x:c r="D4" t="str">
        <x:v>Instalação gratuita</x:v>
      </x:c>
    </x:row>
    <x:row r="5">
      <x:c r="A5" t="str">
        <x:v>Crescimento</x:v>
      </x:c>
      <x:c r="B5" t="str">
        <x:v>Instalações por instalador/mês</x:v>
      </x:c>
      <x:c r="C5" s="24" t="n">
        <x:v>30</x:v>
      </x:c>
      <x:c r="D5" t="str">
        <x:v>Premissa operacional</x:v>
      </x:c>
    </x:row>
    <x:row r="6">
      <x:c r="A6" t="str">
        <x:v>Crescimento</x:v>
      </x:c>
      <x:c r="B6" t="str">
        <x:v>Quantidade de instaladores</x:v>
      </x:c>
      <x:c r="C6" s="24" t="n">
        <x:v>2</x:v>
      </x:c>
      <x:c r="D6" t="str">
        <x:v>Equipe própria</x:v>
      </x:c>
    </x:row>
    <x:row r="7">
      <x:c r="A7" t="str">
        <x:v>Crescimento</x:v>
      </x:c>
      <x:c r="B7" t="str">
        <x:v>Novos clientes/mês</x:v>
      </x:c>
      <x:c r="C7" s="32" t="n">
        <x:f>C5*C6</x:f>
        <x:v>60</x:v>
      </x:c>
      <x:c r="D7" t="str">
        <x:v>Capacidade mensal de ativação</x:v>
      </x:c>
    </x:row>
    <x:row r="8">
      <x:c r="A8" t="str">
        <x:v>Impostos</x:v>
      </x:c>
      <x:c r="B8" t="str">
        <x:v>Simples Nacional</x:v>
      </x:c>
      <x:c r="C8" s="26" t="n">
        <x:v>0.06</x:v>
      </x:c>
      <x:c r="D8" t="str">
        <x:v>Percentual sobre receita bruta</x:v>
      </x:c>
    </x:row>
    <x:row r="9">
      <x:c r="A9" t="str">
        <x:v>Perdas</x:v>
      </x:c>
      <x:c r="B9" t="str">
        <x:v>Inadimplência</x:v>
      </x:c>
      <x:c r="C9" s="26" t="n">
        <x:v>0.03</x:v>
      </x:c>
      <x:c r="D9" t="str">
        <x:v>Percentual sobre receita bruta</x:v>
      </x:c>
    </x:row>
    <x:row r="10">
      <x:c r="A10" t="str">
        <x:v>CAPEX Cliente</x:v>
      </x:c>
      <x:c r="B10" t="str">
        <x:v>ONT WiFi 6 (R$)</x:v>
      </x:c>
      <x:c r="C10" s="24" t="n">
        <x:v>250</x:v>
      </x:c>
      <x:c r="D10" t="str">
        <x:v>Equipamento por novo cliente</x:v>
      </x:c>
    </x:row>
    <x:row r="11">
      <x:c r="A11" t="str">
        <x:v>CAPEX Cliente</x:v>
      </x:c>
      <x:c r="B11" t="str">
        <x:v>Cabo drop até 250m (R$)</x:v>
      </x:c>
      <x:c r="C11" s="24" t="n">
        <x:v>200</x:v>
      </x:c>
      <x:c r="D11" t="str">
        <x:v>Estimativa de cabo drop por instalação</x:v>
      </x:c>
    </x:row>
    <x:row r="12">
      <x:c r="A12" t="str">
        <x:v>CAPEX Cliente</x:v>
      </x:c>
      <x:c r="B12" t="str">
        <x:v>Conectores/acessórios (R$)</x:v>
      </x:c>
      <x:c r="C12" s="24" t="n">
        <x:v>20</x:v>
      </x:c>
      <x:c r="D12" t="str">
        <x:v>Material por instalação</x:v>
      </x:c>
    </x:row>
    <x:row r="13">
      <x:c r="A13" t="str">
        <x:v>CAPEX Cliente</x:v>
      </x:c>
      <x:c r="B13" t="str">
        <x:v>Materiais diversos por instalação (R$)</x:v>
      </x:c>
      <x:c r="C13" s="24" t="n">
        <x:v>15</x:v>
      </x:c>
      <x:c r="D13" t="str">
        <x:v>Fixação/consumíveis</x:v>
      </x:c>
    </x:row>
    <x:row r="14">
      <x:c r="A14" t="str">
        <x:v>CAPEX Cliente</x:v>
      </x:c>
      <x:c r="B14" t="str">
        <x:v>Custo adicional de instalação (R$)</x:v>
      </x:c>
      <x:c r="C14" s="24" t="n">
        <x:v>100</x:v>
      </x:c>
      <x:c r="D14" t="str">
        <x:v>Deslocamento/execução alocado por cliente</x:v>
      </x:c>
    </x:row>
    <x:row r="15">
      <x:c r="A15" t="str">
        <x:v>CAPEX Cliente</x:v>
      </x:c>
      <x:c r="B15" t="str">
        <x:v>Combustível por instalação (R$)</x:v>
      </x:c>
      <x:c r="C15" s="24" t="n">
        <x:v>40</x:v>
      </x:c>
      <x:c r="D15" t="str">
        <x:v>Custo variável por instalação</x:v>
      </x:c>
    </x:row>
    <x:row r="16">
      <x:c r="A16" t="str">
        <x:v>CAPEX Cliente</x:v>
      </x:c>
      <x:c r="B16" t="str">
        <x:v>Custo total de ativação por cliente (R$)</x:v>
      </x:c>
      <x:c r="C16" s="32" t="n">
        <x:f>SUM(C10:C15)</x:f>
        <x:v>625</x:v>
      </x:c>
      <x:c r="D16" t="str">
        <x:v>Custo variável de cada ativação</x:v>
      </x:c>
    </x:row>
    <x:row r="17">
      <x:c r="A17" t="str">
        <x:v>Custos Fixos</x:v>
      </x:c>
      <x:c r="B17" t="str">
        <x:v>Aluguel espaço/POP</x:v>
      </x:c>
      <x:c r="C17" s="24" t="n">
        <x:v>3000</x:v>
      </x:c>
      <x:c r="D17" t="str">
        <x:v>Custo mensal</x:v>
      </x:c>
    </x:row>
    <x:row r="18">
      <x:c r="A18" t="str">
        <x:v>Custos Fixos</x:v>
      </x:c>
      <x:c r="B18" t="str">
        <x:v>Posteamento / ocupação de postes</x:v>
      </x:c>
      <x:c r="C18" s="24" t="n">
        <x:v>4000</x:v>
      </x:c>
      <x:c r="D18" t="str">
        <x:v>Custo mensal</x:v>
      </x:c>
    </x:row>
    <x:row r="19">
      <x:c r="A19" t="str">
        <x:v>Custos Fixos</x:v>
      </x:c>
      <x:c r="B19" t="str">
        <x:v>Link IP / trânsito</x:v>
      </x:c>
      <x:c r="C19" s="24" t="n">
        <x:v>2500</x:v>
      </x:c>
      <x:c r="D19" t="str">
        <x:v>Custo mensal</x:v>
      </x:c>
    </x:row>
    <x:row r="20">
      <x:c r="A20" t="str">
        <x:v>Custos Fixos</x:v>
      </x:c>
      <x:c r="B20" t="str">
        <x:v>3 administrativos CLT - custo empresa</x:v>
      </x:c>
      <x:c r="C20" s="24" t="n">
        <x:v>12000</x:v>
      </x:c>
      <x:c r="D20" t="str">
        <x:v>Salários + encargos</x:v>
      </x:c>
    </x:row>
    <x:row r="21">
      <x:c r="A21" t="str">
        <x:v>Custos Fixos</x:v>
      </x:c>
      <x:c r="B21" t="str">
        <x:v>2 suporte CLT - custo empresa</x:v>
      </x:c>
      <x:c r="C21" s="24" t="n">
        <x:v>9000</x:v>
      </x:c>
      <x:c r="D21" t="str">
        <x:v>Salários + encargos</x:v>
      </x:c>
    </x:row>
    <x:row r="22">
      <x:c r="A22" t="str">
        <x:v>Custos Fixos</x:v>
      </x:c>
      <x:c r="B22" t="str">
        <x:v>2 instaladores CLT - custo empresa</x:v>
      </x:c>
      <x:c r="C22" s="24" t="n">
        <x:v>9000</x:v>
      </x:c>
      <x:c r="D22" t="str">
        <x:v>Salários + encargos</x:v>
      </x:c>
    </x:row>
    <x:row r="23">
      <x:c r="A23" t="str">
        <x:v>Custos Fixos</x:v>
      </x:c>
      <x:c r="B23" t="str">
        <x:v>Locação de veículos</x:v>
      </x:c>
      <x:c r="C23" s="24" t="n">
        <x:v>4000</x:v>
      </x:c>
      <x:c r="D23" t="str">
        <x:v>Custo mensal</x:v>
      </x:c>
    </x:row>
    <x:row r="24">
      <x:c r="A24" t="str">
        <x:v>Custos Fixos</x:v>
      </x:c>
      <x:c r="B24" t="str">
        <x:v>Combustível operacional</x:v>
      </x:c>
      <x:c r="C24" s="24" t="n">
        <x:v>2000</x:v>
      </x:c>
      <x:c r="D24" t="str">
        <x:v>Custo mensal</x:v>
      </x:c>
    </x:row>
    <x:row r="25">
      <x:c r="A25" t="str">
        <x:v>Custos Fixos</x:v>
      </x:c>
      <x:c r="B25" t="str">
        <x:v>Licenças IXC</x:v>
      </x:c>
      <x:c r="C25" s="24" t="n">
        <x:v>1200</x:v>
      </x:c>
      <x:c r="D25" t="str">
        <x:v>Custo mensal</x:v>
      </x:c>
    </x:row>
    <x:row r="26">
      <x:c r="A26" t="str">
        <x:v>Custos Fixos</x:v>
      </x:c>
      <x:c r="B26" t="str">
        <x:v>Radius / monitoramento</x:v>
      </x:c>
      <x:c r="C26" s="24" t="n">
        <x:v>500</x:v>
      </x:c>
      <x:c r="D26" t="str">
        <x:v>Custo mensal</x:v>
      </x:c>
    </x:row>
    <x:row r="27">
      <x:c r="A27" t="str">
        <x:v>Custos Fixos</x:v>
      </x:c>
      <x:c r="B27" t="str">
        <x:v>Contabilidade</x:v>
      </x:c>
      <x:c r="C27" s="24" t="n">
        <x:v>800</x:v>
      </x:c>
      <x:c r="D27" t="str">
        <x:v>Custo mensal</x:v>
      </x:c>
    </x:row>
    <x:row r="28">
      <x:c r="A28" t="str">
        <x:v>Custos Fixos</x:v>
      </x:c>
      <x:c r="B28" t="str">
        <x:v>EPIs e ferramentas</x:v>
      </x:c>
      <x:c r="C28" s="24" t="n">
        <x:v>500</x:v>
      </x:c>
      <x:c r="D28" t="str">
        <x:v>Custo mensal</x:v>
      </x:c>
    </x:row>
    <x:row r="29">
      <x:c r="A29" t="str">
        <x:v>Custos Fixos</x:v>
      </x:c>
      <x:c r="B29" t="str">
        <x:v>Energia, internet e utilidades</x:v>
      </x:c>
      <x:c r="C29" s="24" t="n">
        <x:v>1500</x:v>
      </x:c>
      <x:c r="D29" t="str">
        <x:v>Custo mensal</x:v>
      </x:c>
    </x:row>
    <x:row r="30">
      <x:c r="A30" t="str">
        <x:v>Custos Fixos</x:v>
      </x:c>
      <x:c r="B30" t="str">
        <x:v>Outros custos fixos</x:v>
      </x:c>
      <x:c r="C30" s="24" t="n">
        <x:v>2000</x:v>
      </x:c>
      <x:c r="D30" t="str">
        <x:v>Reserva operacional</x:v>
      </x:c>
    </x:row>
    <x:row r="31">
      <x:c r="A31" t="str">
        <x:v>Custos Fixos</x:v>
      </x:c>
      <x:c r="B31" t="str">
        <x:v>Total de custos fixos mensais (R$)</x:v>
      </x:c>
      <x:c r="C31" s="34" t="n">
        <x:f>SUM(C17:C30)</x:f>
        <x:v>52000</x:v>
      </x:c>
      <x:c r="D31" t="str">
        <x:v>OPEX fixo mensal</x:v>
      </x:c>
    </x:row>
    <x:row r="32">
      <x:c r="A32" t="str">
        <x:v>Investimento</x:v>
      </x:c>
      <x:c r="B32" t="str">
        <x:v>Investimento inicial em rede GPON (R$)</x:v>
      </x:c>
      <x:c r="C32" s="35" t="n">
        <x:v>250000</x:v>
      </x:c>
      <x:c r="D32" t="str">
        <x:v>CAPEX da infraestrutura</x:v>
      </x:c>
    </x:row>
    <x:row r="33">
      <x:c r="A33" t="str">
        <x:v>Capital de Giro</x:v>
      </x:c>
      <x:c r="B33" t="str">
        <x:v>Meses de cobertura de custos fixos</x:v>
      </x:c>
      <x:c r="C33" s="35" t="n">
        <x:v>6</x:v>
      </x:c>
      <x:c r="D33" t="str">
        <x:v>Reserva recomendada</x:v>
      </x:c>
    </x:row>
    <x:row r="34">
      <x:c r="A34" t="str">
        <x:v>Capital de Giro</x:v>
      </x:c>
      <x:c r="B34" t="str">
        <x:v>Capital de giro fixo recomendado (R$)</x:v>
      </x:c>
      <x:c r="C34" s="34" t="n">
        <x:f>C31*C33</x:f>
        <x:v>312000</x:v>
      </x:c>
      <x:c r="D34" t="str">
        <x:v>6 meses de OPEX fixo</x:v>
      </x:c>
    </x:row>
    <x:row r="35">
      <x:c r="A35" t="str">
        <x:v>Capital de Giro</x:v>
      </x:c>
      <x:c r="B35" t="str">
        <x:v>Ativações dos primeiros 6 meses (R$)</x:v>
      </x:c>
      <x:c r="C35" s="34" t="n">
        <x:f>C7*C33*C16</x:f>
        <x:v>225000</x:v>
      </x:c>
      <x:c r="D35" t="str">
        <x:v>CAPEX variável inicial</x:v>
      </x:c>
    </x:row>
    <x:row r="36">
      <x:c r="A36" t="str">
        <x:v>Investimento</x:v>
      </x:c>
      <x:c r="B36" t="str">
        <x:v>Capital total recomendado (R$)</x:v>
      </x:c>
      <x:c r="C36" s="34" t="n">
        <x:f>C32+C34+C35</x:f>
        <x:v>787000</x:v>
      </x:c>
      <x:c r="D36" t="str">
        <x:v>Rede + capital de giro + ativações</x:v>
      </x:c>
    </x:row>
    <x:row r="37">
      <x:c r="A37" t="str">
        <x:v>Expansão</x:v>
      </x:c>
      <x:c r="B37" t="str">
        <x:v>Clientes potenciais máximos</x:v>
      </x:c>
      <x:c r="C37" s="24" t="n">
        <x:v>1500</x:v>
      </x:c>
      <x:c r="D37" t="str">
        <x:v>Meta inicial do projeto</x:v>
      </x:c>
    </x:row>
    <x:row r="38">
      <x:c r="A38" t="str">
        <x:v>Expansão</x:v>
      </x:c>
      <x:c r="B38" t="str">
        <x:v>Capacidade máxima com 32 portas 1:64</x:v>
      </x:c>
      <x:c r="C38" s="24" t="n">
        <x:v>2048</x:v>
      </x:c>
      <x:c r="D38" t="str">
        <x:v>Capacidade técnica inicial da OLT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56095e3b7434e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12" t="str">
        <x:v>Mês</x:v>
      </x:c>
      <x:c r="B1" s="12" t="str">
        <x:v>Clientes</x:v>
      </x:c>
      <x:c r="C1" s="12" t="str">
        <x:v>Novos clientes</x:v>
      </x:c>
      <x:c r="D1" s="12" t="str">
        <x:v>Receita bruta (R$)</x:v>
      </x:c>
      <x:c r="E1" s="10" t="str">
        <x:v>Receita líquida (R$)</x:v>
      </x:c>
      <x:c r="F1" s="10" t="str">
        <x:v>Impostos (R$)</x:v>
      </x:c>
      <x:c r="G1" s="10" t="str">
        <x:v>Inadimplência (R$)</x:v>
      </x:c>
      <x:c r="H1" s="10" t="str">
        <x:v>Custos fixos (R$)</x:v>
      </x:c>
      <x:c r="I1" s="10" t="str">
        <x:v>CAPEX ativações (R$)</x:v>
      </x:c>
      <x:c r="J1" s="10" t="str">
        <x:v>Fluxo operacional (R$)</x:v>
      </x:c>
      <x:c r="K1" s="10" t="str">
        <x:v>Fluxo total do mês (R$)</x:v>
      </x:c>
      <x:c r="L1" s="10" t="str">
        <x:v>Fluxo acumulado (R$)</x:v>
      </x:c>
    </x:row>
    <x:row r="2">
      <x:c r="A2" t="n">
        <x:v>1</x:v>
      </x:c>
      <x:c r="B2" s="20" t="n">
        <x:f>MIN(A2*Premissas!$C$7,Premissas!$C$37)</x:f>
        <x:v>60</x:v>
      </x:c>
      <x:c r="C2" s="20" t="n">
        <x:f>IF(A2=1,B2,MAX(0,B2-B1))</x:f>
        <x:v>60</x:v>
      </x:c>
      <x:c r="D2" s="22" t="n">
        <x:f>B2*Premissas!$C$3</x:f>
        <x:v>7140</x:v>
      </x:c>
      <x:c r="E2" s="22" t="n">
        <x:f>D2-F2-G2</x:f>
        <x:v>6497.400000000001</x:v>
      </x:c>
      <x:c r="F2" s="22" t="n">
        <x:f>D2*Premissas!$C$8</x:f>
        <x:v>428.4</x:v>
      </x:c>
      <x:c r="G2" s="22" t="n">
        <x:f>D2*Premissas!$C$9</x:f>
        <x:v>214.2</x:v>
      </x:c>
      <x:c r="H2" s="22" t="n">
        <x:f>Premissas!$C$31</x:f>
        <x:v>52000</x:v>
      </x:c>
      <x:c r="I2" s="22" t="n">
        <x:f>C2*Premissas!$C$16</x:f>
        <x:v>37500</x:v>
      </x:c>
      <x:c r="J2" s="22" t="n">
        <x:f>E2-H2</x:f>
        <x:v>-45502.6</x:v>
      </x:c>
      <x:c r="K2" s="22" t="n">
        <x:f>J2-I2</x:f>
        <x:v>-83002.6</x:v>
      </x:c>
      <x:c r="L2" s="22" t="n">
        <x:f>K2-Premissas!$C$36</x:f>
        <x:v>-870002.6</x:v>
      </x:c>
    </x:row>
    <x:row r="3">
      <x:c r="A3" t="n">
        <x:v>2</x:v>
      </x:c>
      <x:c r="B3" s="20" t="n">
        <x:f>MIN(A3*Premissas!$C$7,Premissas!$C$37)</x:f>
        <x:v>120</x:v>
      </x:c>
      <x:c r="C3" s="20" t="n">
        <x:f>IF(A3=1,B3,MAX(0,B3-B2))</x:f>
        <x:v>60</x:v>
      </x:c>
      <x:c r="D3" s="22" t="n">
        <x:f>B3*Premissas!$C$3</x:f>
        <x:v>14280</x:v>
      </x:c>
      <x:c r="E3" s="22" t="n">
        <x:f>D3-F3-G3</x:f>
        <x:v>12994.800000000001</x:v>
      </x:c>
      <x:c r="F3" s="22" t="n">
        <x:f>D3*Premissas!$C$8</x:f>
        <x:v>856.8</x:v>
      </x:c>
      <x:c r="G3" s="22" t="n">
        <x:f>D3*Premissas!$C$9</x:f>
        <x:v>428.4</x:v>
      </x:c>
      <x:c r="H3" s="22" t="n">
        <x:f>Premissas!$C$31</x:f>
        <x:v>52000</x:v>
      </x:c>
      <x:c r="I3" s="22" t="n">
        <x:f>C3*Premissas!$C$16</x:f>
        <x:v>37500</x:v>
      </x:c>
      <x:c r="J3" s="22" t="n">
        <x:f>E3-H3</x:f>
        <x:v>-39005.2</x:v>
      </x:c>
      <x:c r="K3" s="22" t="n">
        <x:f>J3-I3</x:f>
        <x:v>-76505.2</x:v>
      </x:c>
      <x:c r="L3" s="22" t="n">
        <x:f>L2+K3</x:f>
        <x:v>-946507.7999999999</x:v>
      </x:c>
    </x:row>
    <x:row r="4">
      <x:c r="A4" t="n">
        <x:v>3</x:v>
      </x:c>
      <x:c r="B4" s="20" t="n">
        <x:f>MIN(A4*Premissas!$C$7,Premissas!$C$37)</x:f>
        <x:v>180</x:v>
      </x:c>
      <x:c r="C4" s="20" t="n">
        <x:f>IF(A4=1,B4,MAX(0,B4-B3))</x:f>
        <x:v>60</x:v>
      </x:c>
      <x:c r="D4" s="22" t="n">
        <x:f>B4*Premissas!$C$3</x:f>
        <x:v>21420</x:v>
      </x:c>
      <x:c r="E4" s="22" t="n">
        <x:f>D4-F4-G4</x:f>
        <x:v>19492.2</x:v>
      </x:c>
      <x:c r="F4" s="22" t="n">
        <x:f>D4*Premissas!$C$8</x:f>
        <x:v>1285.2</x:v>
      </x:c>
      <x:c r="G4" s="22" t="n">
        <x:f>D4*Premissas!$C$9</x:f>
        <x:v>642.6</x:v>
      </x:c>
      <x:c r="H4" s="22" t="n">
        <x:f>Premissas!$C$31</x:f>
        <x:v>52000</x:v>
      </x:c>
      <x:c r="I4" s="22" t="n">
        <x:f>C4*Premissas!$C$16</x:f>
        <x:v>37500</x:v>
      </x:c>
      <x:c r="J4" s="22" t="n">
        <x:f>E4-H4</x:f>
        <x:v>-32507.8</x:v>
      </x:c>
      <x:c r="K4" s="22" t="n">
        <x:f>J4-I4</x:f>
        <x:v>-70007.8</x:v>
      </x:c>
      <x:c r="L4" s="22" t="n">
        <x:f>L3+K4</x:f>
        <x:v>-1016515.6</x:v>
      </x:c>
    </x:row>
    <x:row r="5">
      <x:c r="A5" t="n">
        <x:v>4</x:v>
      </x:c>
      <x:c r="B5" s="20" t="n">
        <x:f>MIN(A5*Premissas!$C$7,Premissas!$C$37)</x:f>
        <x:v>240</x:v>
      </x:c>
      <x:c r="C5" s="20" t="n">
        <x:f>IF(A5=1,B5,MAX(0,B5-B4))</x:f>
        <x:v>60</x:v>
      </x:c>
      <x:c r="D5" s="22" t="n">
        <x:f>B5*Premissas!$C$3</x:f>
        <x:v>28560</x:v>
      </x:c>
      <x:c r="E5" s="22" t="n">
        <x:f>D5-F5-G5</x:f>
        <x:v>25989.600000000002</x:v>
      </x:c>
      <x:c r="F5" s="22" t="n">
        <x:f>D5*Premissas!$C$8</x:f>
        <x:v>1713.6</x:v>
      </x:c>
      <x:c r="G5" s="22" t="n">
        <x:f>D5*Premissas!$C$9</x:f>
        <x:v>856.8</x:v>
      </x:c>
      <x:c r="H5" s="22" t="n">
        <x:f>Premissas!$C$31</x:f>
        <x:v>52000</x:v>
      </x:c>
      <x:c r="I5" s="22" t="n">
        <x:f>C5*Premissas!$C$16</x:f>
        <x:v>37500</x:v>
      </x:c>
      <x:c r="J5" s="22" t="n">
        <x:f>E5-H5</x:f>
        <x:v>-26010.399999999998</x:v>
      </x:c>
      <x:c r="K5" s="22" t="n">
        <x:f>J5-I5</x:f>
        <x:v>-63510.399999999994</x:v>
      </x:c>
      <x:c r="L5" s="22" t="n">
        <x:f>L4+K5</x:f>
        <x:v>-1080026</x:v>
      </x:c>
    </x:row>
    <x:row r="6">
      <x:c r="A6" t="n">
        <x:v>5</x:v>
      </x:c>
      <x:c r="B6" s="20" t="n">
        <x:f>MIN(A6*Premissas!$C$7,Premissas!$C$37)</x:f>
        <x:v>300</x:v>
      </x:c>
      <x:c r="C6" s="20" t="n">
        <x:f>IF(A6=1,B6,MAX(0,B6-B5))</x:f>
        <x:v>60</x:v>
      </x:c>
      <x:c r="D6" s="22" t="n">
        <x:f>B6*Premissas!$C$3</x:f>
        <x:v>35700</x:v>
      </x:c>
      <x:c r="E6" s="22" t="n">
        <x:f>D6-F6-G6</x:f>
        <x:v>32487</x:v>
      </x:c>
      <x:c r="F6" s="22" t="n">
        <x:f>D6*Premissas!$C$8</x:f>
        <x:v>2142</x:v>
      </x:c>
      <x:c r="G6" s="22" t="n">
        <x:f>D6*Premissas!$C$9</x:f>
        <x:v>1071</x:v>
      </x:c>
      <x:c r="H6" s="22" t="n">
        <x:f>Premissas!$C$31</x:f>
        <x:v>52000</x:v>
      </x:c>
      <x:c r="I6" s="22" t="n">
        <x:f>C6*Premissas!$C$16</x:f>
        <x:v>37500</x:v>
      </x:c>
      <x:c r="J6" s="22" t="n">
        <x:f>E6-H6</x:f>
        <x:v>-19513</x:v>
      </x:c>
      <x:c r="K6" s="22" t="n">
        <x:f>J6-I6</x:f>
        <x:v>-57013</x:v>
      </x:c>
      <x:c r="L6" s="22" t="n">
        <x:f>L5+K6</x:f>
        <x:v>-1137039</x:v>
      </x:c>
    </x:row>
    <x:row r="7">
      <x:c r="A7" t="n">
        <x:v>6</x:v>
      </x:c>
      <x:c r="B7" s="20" t="n">
        <x:f>MIN(A7*Premissas!$C$7,Premissas!$C$37)</x:f>
        <x:v>360</x:v>
      </x:c>
      <x:c r="C7" s="20" t="n">
        <x:f>IF(A7=1,B7,MAX(0,B7-B6))</x:f>
        <x:v>60</x:v>
      </x:c>
      <x:c r="D7" s="22" t="n">
        <x:f>B7*Premissas!$C$3</x:f>
        <x:v>42840</x:v>
      </x:c>
      <x:c r="E7" s="22" t="n">
        <x:f>D7-F7-G7</x:f>
        <x:v>38984.4</x:v>
      </x:c>
      <x:c r="F7" s="22" t="n">
        <x:f>D7*Premissas!$C$8</x:f>
        <x:v>2570.4</x:v>
      </x:c>
      <x:c r="G7" s="22" t="n">
        <x:f>D7*Premissas!$C$9</x:f>
        <x:v>1285.2</x:v>
      </x:c>
      <x:c r="H7" s="22" t="n">
        <x:f>Premissas!$C$31</x:f>
        <x:v>52000</x:v>
      </x:c>
      <x:c r="I7" s="22" t="n">
        <x:f>C7*Premissas!$C$16</x:f>
        <x:v>37500</x:v>
      </x:c>
      <x:c r="J7" s="22" t="n">
        <x:f>E7-H7</x:f>
        <x:v>-13015.599999999999</x:v>
      </x:c>
      <x:c r="K7" s="22" t="n">
        <x:f>J7-I7</x:f>
        <x:v>-50515.6</x:v>
      </x:c>
      <x:c r="L7" s="22" t="n">
        <x:f>L6+K7</x:f>
        <x:v>-1187554.6</x:v>
      </x:c>
    </x:row>
    <x:row r="8">
      <x:c r="A8" t="n">
        <x:v>7</x:v>
      </x:c>
      <x:c r="B8" s="20" t="n">
        <x:f>MIN(A8*Premissas!$C$7,Premissas!$C$37)</x:f>
        <x:v>420</x:v>
      </x:c>
      <x:c r="C8" s="20" t="n">
        <x:f>IF(A8=1,B8,MAX(0,B8-B7))</x:f>
        <x:v>60</x:v>
      </x:c>
      <x:c r="D8" s="22" t="n">
        <x:f>B8*Premissas!$C$3</x:f>
        <x:v>49980</x:v>
      </x:c>
      <x:c r="E8" s="22" t="n">
        <x:f>D8-F8-G8</x:f>
        <x:v>45481.799999999996</x:v>
      </x:c>
      <x:c r="F8" s="22" t="n">
        <x:f>D8*Premissas!$C$8</x:f>
        <x:v>2998.7999999999997</x:v>
      </x:c>
      <x:c r="G8" s="22" t="n">
        <x:f>D8*Premissas!$C$9</x:f>
        <x:v>1499.3999999999999</x:v>
      </x:c>
      <x:c r="H8" s="22" t="n">
        <x:f>Premissas!$C$31</x:f>
        <x:v>52000</x:v>
      </x:c>
      <x:c r="I8" s="22" t="n">
        <x:f>C8*Premissas!$C$16</x:f>
        <x:v>37500</x:v>
      </x:c>
      <x:c r="J8" s="22" t="n">
        <x:f>E8-H8</x:f>
        <x:v>-6518.200000000004</x:v>
      </x:c>
      <x:c r="K8" s="22" t="n">
        <x:f>J8-I8</x:f>
        <x:v>-44018.200000000004</x:v>
      </x:c>
      <x:c r="L8" s="22" t="n">
        <x:f>L7+K8</x:f>
        <x:v>-1231572.8</x:v>
      </x:c>
    </x:row>
    <x:row r="9">
      <x:c r="A9" t="n">
        <x:v>8</x:v>
      </x:c>
      <x:c r="B9" s="20" t="n">
        <x:f>MIN(A9*Premissas!$C$7,Premissas!$C$37)</x:f>
        <x:v>480</x:v>
      </x:c>
      <x:c r="C9" s="20" t="n">
        <x:f>IF(A9=1,B9,MAX(0,B9-B8))</x:f>
        <x:v>60</x:v>
      </x:c>
      <x:c r="D9" s="22" t="n">
        <x:f>B9*Premissas!$C$3</x:f>
        <x:v>57120</x:v>
      </x:c>
      <x:c r="E9" s="22" t="n">
        <x:f>D9-F9-G9</x:f>
        <x:v>51979.200000000004</x:v>
      </x:c>
      <x:c r="F9" s="22" t="n">
        <x:f>D9*Premissas!$C$8</x:f>
        <x:v>3427.2</x:v>
      </x:c>
      <x:c r="G9" s="22" t="n">
        <x:f>D9*Premissas!$C$9</x:f>
        <x:v>1713.6</x:v>
      </x:c>
      <x:c r="H9" s="22" t="n">
        <x:f>Premissas!$C$31</x:f>
        <x:v>52000</x:v>
      </x:c>
      <x:c r="I9" s="22" t="n">
        <x:f>C9*Premissas!$C$16</x:f>
        <x:v>37500</x:v>
      </x:c>
      <x:c r="J9" s="22" t="n">
        <x:f>E9-H9</x:f>
        <x:v>-20.799999999995634</x:v>
      </x:c>
      <x:c r="K9" s="22" t="n">
        <x:f>J9-I9</x:f>
        <x:v>-37520.799999999996</x:v>
      </x:c>
      <x:c r="L9" s="22" t="n">
        <x:f>L8+K9</x:f>
        <x:v>-1269093.6</x:v>
      </x:c>
    </x:row>
    <x:row r="10">
      <x:c r="A10" t="n">
        <x:v>9</x:v>
      </x:c>
      <x:c r="B10" s="20" t="n">
        <x:f>MIN(A10*Premissas!$C$7,Premissas!$C$37)</x:f>
        <x:v>540</x:v>
      </x:c>
      <x:c r="C10" s="20" t="n">
        <x:f>IF(A10=1,B10,MAX(0,B10-B9))</x:f>
        <x:v>60</x:v>
      </x:c>
      <x:c r="D10" s="22" t="n">
        <x:f>B10*Premissas!$C$3</x:f>
        <x:v>64260</x:v>
      </x:c>
      <x:c r="E10" s="22" t="n">
        <x:f>D10-F10-G10</x:f>
        <x:v>58476.6</x:v>
      </x:c>
      <x:c r="F10" s="22" t="n">
        <x:f>D10*Premissas!$C$8</x:f>
        <x:v>3855.6</x:v>
      </x:c>
      <x:c r="G10" s="22" t="n">
        <x:f>D10*Premissas!$C$9</x:f>
        <x:v>1927.8</x:v>
      </x:c>
      <x:c r="H10" s="22" t="n">
        <x:f>Premissas!$C$31</x:f>
        <x:v>52000</x:v>
      </x:c>
      <x:c r="I10" s="22" t="n">
        <x:f>C10*Premissas!$C$16</x:f>
        <x:v>37500</x:v>
      </x:c>
      <x:c r="J10" s="22" t="n">
        <x:f>E10-H10</x:f>
        <x:v>6476.5999999999985</x:v>
      </x:c>
      <x:c r="K10" s="22" t="n">
        <x:f>J10-I10</x:f>
        <x:v>-31023.4</x:v>
      </x:c>
      <x:c r="L10" s="22" t="n">
        <x:f>L9+K10</x:f>
        <x:v>-1300117</x:v>
      </x:c>
    </x:row>
    <x:row r="11">
      <x:c r="A11" t="n">
        <x:v>10</x:v>
      </x:c>
      <x:c r="B11" s="20" t="n">
        <x:f>MIN(A11*Premissas!$C$7,Premissas!$C$37)</x:f>
        <x:v>600</x:v>
      </x:c>
      <x:c r="C11" s="20" t="n">
        <x:f>IF(A11=1,B11,MAX(0,B11-B10))</x:f>
        <x:v>60</x:v>
      </x:c>
      <x:c r="D11" s="22" t="n">
        <x:f>B11*Premissas!$C$3</x:f>
        <x:v>71400</x:v>
      </x:c>
      <x:c r="E11" s="22" t="n">
        <x:f>D11-F11-G11</x:f>
        <x:v>64974</x:v>
      </x:c>
      <x:c r="F11" s="22" t="n">
        <x:f>D11*Premissas!$C$8</x:f>
        <x:v>4284</x:v>
      </x:c>
      <x:c r="G11" s="22" t="n">
        <x:f>D11*Premissas!$C$9</x:f>
        <x:v>2142</x:v>
      </x:c>
      <x:c r="H11" s="22" t="n">
        <x:f>Premissas!$C$31</x:f>
        <x:v>52000</x:v>
      </x:c>
      <x:c r="I11" s="22" t="n">
        <x:f>C11*Premissas!$C$16</x:f>
        <x:v>37500</x:v>
      </x:c>
      <x:c r="J11" s="22" t="n">
        <x:f>E11-H11</x:f>
        <x:v>12974</x:v>
      </x:c>
      <x:c r="K11" s="22" t="n">
        <x:f>J11-I11</x:f>
        <x:v>-24526</x:v>
      </x:c>
      <x:c r="L11" s="22" t="n">
        <x:f>L10+K11</x:f>
        <x:v>-1324643</x:v>
      </x:c>
    </x:row>
    <x:row r="12">
      <x:c r="A12" t="n">
        <x:v>11</x:v>
      </x:c>
      <x:c r="B12" s="20" t="n">
        <x:f>MIN(A12*Premissas!$C$7,Premissas!$C$37)</x:f>
        <x:v>660</x:v>
      </x:c>
      <x:c r="C12" s="20" t="n">
        <x:f>IF(A12=1,B12,MAX(0,B12-B11))</x:f>
        <x:v>60</x:v>
      </x:c>
      <x:c r="D12" s="22" t="n">
        <x:f>B12*Premissas!$C$3</x:f>
        <x:v>78540</x:v>
      </x:c>
      <x:c r="E12" s="22" t="n">
        <x:f>D12-F12-G12</x:f>
        <x:v>71471.40000000001</x:v>
      </x:c>
      <x:c r="F12" s="22" t="n">
        <x:f>D12*Premissas!$C$8</x:f>
        <x:v>4712.4</x:v>
      </x:c>
      <x:c r="G12" s="22" t="n">
        <x:f>D12*Premissas!$C$9</x:f>
        <x:v>2356.2</x:v>
      </x:c>
      <x:c r="H12" s="22" t="n">
        <x:f>Premissas!$C$31</x:f>
        <x:v>52000</x:v>
      </x:c>
      <x:c r="I12" s="22" t="n">
        <x:f>C12*Premissas!$C$16</x:f>
        <x:v>37500</x:v>
      </x:c>
      <x:c r="J12" s="22" t="n">
        <x:f>E12-H12</x:f>
        <x:v>19471.40000000001</x:v>
      </x:c>
      <x:c r="K12" s="22" t="n">
        <x:f>J12-I12</x:f>
        <x:v>-18028.59999999999</x:v>
      </x:c>
      <x:c r="L12" s="22" t="n">
        <x:f>L11+K12</x:f>
        <x:v>-1342671.6</x:v>
      </x:c>
    </x:row>
    <x:row r="13">
      <x:c r="A13" t="n">
        <x:v>12</x:v>
      </x:c>
      <x:c r="B13" s="20" t="n">
        <x:f>MIN(A13*Premissas!$C$7,Premissas!$C$37)</x:f>
        <x:v>720</x:v>
      </x:c>
      <x:c r="C13" s="20" t="n">
        <x:f>IF(A13=1,B13,MAX(0,B13-B12))</x:f>
        <x:v>60</x:v>
      </x:c>
      <x:c r="D13" s="22" t="n">
        <x:f>B13*Premissas!$C$3</x:f>
        <x:v>85680</x:v>
      </x:c>
      <x:c r="E13" s="22" t="n">
        <x:f>D13-F13-G13</x:f>
        <x:v>77968.8</x:v>
      </x:c>
      <x:c r="F13" s="22" t="n">
        <x:f>D13*Premissas!$C$8</x:f>
        <x:v>5140.8</x:v>
      </x:c>
      <x:c r="G13" s="22" t="n">
        <x:f>D13*Premissas!$C$9</x:f>
        <x:v>2570.4</x:v>
      </x:c>
      <x:c r="H13" s="22" t="n">
        <x:f>Premissas!$C$31</x:f>
        <x:v>52000</x:v>
      </x:c>
      <x:c r="I13" s="22" t="n">
        <x:f>C13*Premissas!$C$16</x:f>
        <x:v>37500</x:v>
      </x:c>
      <x:c r="J13" s="22" t="n">
        <x:f>E13-H13</x:f>
        <x:v>25968.800000000003</x:v>
      </x:c>
      <x:c r="K13" s="22" t="n">
        <x:f>J13-I13</x:f>
        <x:v>-11531.199999999997</x:v>
      </x:c>
      <x:c r="L13" s="22" t="n">
        <x:f>L12+K13</x:f>
        <x:v>-1354202.8</x:v>
      </x:c>
    </x:row>
    <x:row r="14">
      <x:c r="A14" t="n">
        <x:v>13</x:v>
      </x:c>
      <x:c r="B14" s="20" t="n">
        <x:f>MIN(A14*Premissas!$C$7,Premissas!$C$37)</x:f>
        <x:v>780</x:v>
      </x:c>
      <x:c r="C14" s="20" t="n">
        <x:f>IF(A14=1,B14,MAX(0,B14-B13))</x:f>
        <x:v>60</x:v>
      </x:c>
      <x:c r="D14" s="22" t="n">
        <x:f>B14*Premissas!$C$3</x:f>
        <x:v>92820</x:v>
      </x:c>
      <x:c r="E14" s="22" t="n">
        <x:f>D14-F14-G14</x:f>
        <x:v>84466.2</x:v>
      </x:c>
      <x:c r="F14" s="22" t="n">
        <x:f>D14*Premissas!$C$8</x:f>
        <x:v>5569.2</x:v>
      </x:c>
      <x:c r="G14" s="22" t="n">
        <x:f>D14*Premissas!$C$9</x:f>
        <x:v>2784.6</x:v>
      </x:c>
      <x:c r="H14" s="22" t="n">
        <x:f>Premissas!$C$31</x:f>
        <x:v>52000</x:v>
      </x:c>
      <x:c r="I14" s="22" t="n">
        <x:f>C14*Premissas!$C$16</x:f>
        <x:v>37500</x:v>
      </x:c>
      <x:c r="J14" s="22" t="n">
        <x:f>E14-H14</x:f>
        <x:v>32466.199999999997</x:v>
      </x:c>
      <x:c r="K14" s="22" t="n">
        <x:f>J14-I14</x:f>
        <x:v>-5033.800000000003</x:v>
      </x:c>
      <x:c r="L14" s="22" t="n">
        <x:f>L13+K14</x:f>
        <x:v>-1359236.6</x:v>
      </x:c>
    </x:row>
    <x:row r="15">
      <x:c r="A15" t="n">
        <x:v>14</x:v>
      </x:c>
      <x:c r="B15" s="20" t="n">
        <x:f>MIN(A15*Premissas!$C$7,Premissas!$C$37)</x:f>
        <x:v>840</x:v>
      </x:c>
      <x:c r="C15" s="20" t="n">
        <x:f>IF(A15=1,B15,MAX(0,B15-B14))</x:f>
        <x:v>60</x:v>
      </x:c>
      <x:c r="D15" s="22" t="n">
        <x:f>B15*Premissas!$C$3</x:f>
        <x:v>99960</x:v>
      </x:c>
      <x:c r="E15" s="22" t="n">
        <x:f>D15-F15-G15</x:f>
        <x:v>90963.59999999999</x:v>
      </x:c>
      <x:c r="F15" s="22" t="n">
        <x:f>D15*Premissas!$C$8</x:f>
        <x:v>5997.599999999999</x:v>
      </x:c>
      <x:c r="G15" s="22" t="n">
        <x:f>D15*Premissas!$C$9</x:f>
        <x:v>2998.7999999999997</x:v>
      </x:c>
      <x:c r="H15" s="22" t="n">
        <x:f>Premissas!$C$31</x:f>
        <x:v>52000</x:v>
      </x:c>
      <x:c r="I15" s="22" t="n">
        <x:f>C15*Premissas!$C$16</x:f>
        <x:v>37500</x:v>
      </x:c>
      <x:c r="J15" s="22" t="n">
        <x:f>E15-H15</x:f>
        <x:v>38963.59999999999</x:v>
      </x:c>
      <x:c r="K15" s="22" t="n">
        <x:f>J15-I15</x:f>
        <x:v>1463.5999999999913</x:v>
      </x:c>
      <x:c r="L15" s="22" t="n">
        <x:f>L14+K15</x:f>
        <x:v>-1357773</x:v>
      </x:c>
    </x:row>
    <x:row r="16">
      <x:c r="A16" t="n">
        <x:v>15</x:v>
      </x:c>
      <x:c r="B16" s="20" t="n">
        <x:f>MIN(A16*Premissas!$C$7,Premissas!$C$37)</x:f>
        <x:v>900</x:v>
      </x:c>
      <x:c r="C16" s="20" t="n">
        <x:f>IF(A16=1,B16,MAX(0,B16-B15))</x:f>
        <x:v>60</x:v>
      </x:c>
      <x:c r="D16" s="22" t="n">
        <x:f>B16*Premissas!$C$3</x:f>
        <x:v>107100</x:v>
      </x:c>
      <x:c r="E16" s="22" t="n">
        <x:f>D16-F16-G16</x:f>
        <x:v>97461</x:v>
      </x:c>
      <x:c r="F16" s="22" t="n">
        <x:f>D16*Premissas!$C$8</x:f>
        <x:v>6426</x:v>
      </x:c>
      <x:c r="G16" s="22" t="n">
        <x:f>D16*Premissas!$C$9</x:f>
        <x:v>3213</x:v>
      </x:c>
      <x:c r="H16" s="22" t="n">
        <x:f>Premissas!$C$31</x:f>
        <x:v>52000</x:v>
      </x:c>
      <x:c r="I16" s="22" t="n">
        <x:f>C16*Premissas!$C$16</x:f>
        <x:v>37500</x:v>
      </x:c>
      <x:c r="J16" s="22" t="n">
        <x:f>E16-H16</x:f>
        <x:v>45461</x:v>
      </x:c>
      <x:c r="K16" s="22" t="n">
        <x:f>J16-I16</x:f>
        <x:v>7961</x:v>
      </x:c>
      <x:c r="L16" s="22" t="n">
        <x:f>L15+K16</x:f>
        <x:v>-1349812</x:v>
      </x:c>
    </x:row>
    <x:row r="17">
      <x:c r="A17" t="n">
        <x:v>16</x:v>
      </x:c>
      <x:c r="B17" s="20" t="n">
        <x:f>MIN(A17*Premissas!$C$7,Premissas!$C$37)</x:f>
        <x:v>960</x:v>
      </x:c>
      <x:c r="C17" s="20" t="n">
        <x:f>IF(A17=1,B17,MAX(0,B17-B16))</x:f>
        <x:v>60</x:v>
      </x:c>
      <x:c r="D17" s="22" t="n">
        <x:f>B17*Premissas!$C$3</x:f>
        <x:v>114240</x:v>
      </x:c>
      <x:c r="E17" s="22" t="n">
        <x:f>D17-F17-G17</x:f>
        <x:v>103958.40000000001</x:v>
      </x:c>
      <x:c r="F17" s="22" t="n">
        <x:f>D17*Premissas!$C$8</x:f>
        <x:v>6854.4</x:v>
      </x:c>
      <x:c r="G17" s="22" t="n">
        <x:f>D17*Premissas!$C$9</x:f>
        <x:v>3427.2</x:v>
      </x:c>
      <x:c r="H17" s="22" t="n">
        <x:f>Premissas!$C$31</x:f>
        <x:v>52000</x:v>
      </x:c>
      <x:c r="I17" s="22" t="n">
        <x:f>C17*Premissas!$C$16</x:f>
        <x:v>37500</x:v>
      </x:c>
      <x:c r="J17" s="22" t="n">
        <x:f>E17-H17</x:f>
        <x:v>51958.40000000001</x:v>
      </x:c>
      <x:c r="K17" s="22" t="n">
        <x:f>J17-I17</x:f>
        <x:v>14458.400000000009</x:v>
      </x:c>
      <x:c r="L17" s="22" t="n">
        <x:f>L16+K17</x:f>
        <x:v>-1335353.6</x:v>
      </x:c>
    </x:row>
    <x:row r="18">
      <x:c r="A18" t="n">
        <x:v>17</x:v>
      </x:c>
      <x:c r="B18" s="20" t="n">
        <x:f>MIN(A18*Premissas!$C$7,Premissas!$C$37)</x:f>
        <x:v>1020</x:v>
      </x:c>
      <x:c r="C18" s="20" t="n">
        <x:f>IF(A18=1,B18,MAX(0,B18-B17))</x:f>
        <x:v>60</x:v>
      </x:c>
      <x:c r="D18" s="22" t="n">
        <x:f>B18*Premissas!$C$3</x:f>
        <x:v>121380</x:v>
      </x:c>
      <x:c r="E18" s="22" t="n">
        <x:f>D18-F18-G18</x:f>
        <x:v>110455.8</x:v>
      </x:c>
      <x:c r="F18" s="22" t="n">
        <x:f>D18*Premissas!$C$8</x:f>
        <x:v>7282.8</x:v>
      </x:c>
      <x:c r="G18" s="22" t="n">
        <x:f>D18*Premissas!$C$9</x:f>
        <x:v>3641.4</x:v>
      </x:c>
      <x:c r="H18" s="22" t="n">
        <x:f>Premissas!$C$31</x:f>
        <x:v>52000</x:v>
      </x:c>
      <x:c r="I18" s="22" t="n">
        <x:f>C18*Premissas!$C$16</x:f>
        <x:v>37500</x:v>
      </x:c>
      <x:c r="J18" s="22" t="n">
        <x:f>E18-H18</x:f>
        <x:v>58455.8</x:v>
      </x:c>
      <x:c r="K18" s="22" t="n">
        <x:f>J18-I18</x:f>
        <x:v>20955.800000000003</x:v>
      </x:c>
      <x:c r="L18" s="22" t="n">
        <x:f>L17+K18</x:f>
        <x:v>-1314397.8</x:v>
      </x:c>
    </x:row>
    <x:row r="19">
      <x:c r="A19" t="n">
        <x:v>18</x:v>
      </x:c>
      <x:c r="B19" s="20" t="n">
        <x:f>MIN(A19*Premissas!$C$7,Premissas!$C$37)</x:f>
        <x:v>1080</x:v>
      </x:c>
      <x:c r="C19" s="20" t="n">
        <x:f>IF(A19=1,B19,MAX(0,B19-B18))</x:f>
        <x:v>60</x:v>
      </x:c>
      <x:c r="D19" s="22" t="n">
        <x:f>B19*Premissas!$C$3</x:f>
        <x:v>128520</x:v>
      </x:c>
      <x:c r="E19" s="22" t="n">
        <x:f>D19-F19-G19</x:f>
        <x:v>116953.2</x:v>
      </x:c>
      <x:c r="F19" s="22" t="n">
        <x:f>D19*Premissas!$C$8</x:f>
        <x:v>7711.2</x:v>
      </x:c>
      <x:c r="G19" s="22" t="n">
        <x:f>D19*Premissas!$C$9</x:f>
        <x:v>3855.6</x:v>
      </x:c>
      <x:c r="H19" s="22" t="n">
        <x:f>Premissas!$C$31</x:f>
        <x:v>52000</x:v>
      </x:c>
      <x:c r="I19" s="22" t="n">
        <x:f>C19*Premissas!$C$16</x:f>
        <x:v>37500</x:v>
      </x:c>
      <x:c r="J19" s="22" t="n">
        <x:f>E19-H19</x:f>
        <x:v>64953.2</x:v>
      </x:c>
      <x:c r="K19" s="22" t="n">
        <x:f>J19-I19</x:f>
        <x:v>27453.199999999997</x:v>
      </x:c>
      <x:c r="L19" s="22" t="n">
        <x:f>L18+K19</x:f>
        <x:v>-1286944.6</x:v>
      </x:c>
    </x:row>
    <x:row r="20">
      <x:c r="A20" t="n">
        <x:v>19</x:v>
      </x:c>
      <x:c r="B20" s="20" t="n">
        <x:f>MIN(A20*Premissas!$C$7,Premissas!$C$37)</x:f>
        <x:v>1140</x:v>
      </x:c>
      <x:c r="C20" s="20" t="n">
        <x:f>IF(A20=1,B20,MAX(0,B20-B19))</x:f>
        <x:v>60</x:v>
      </x:c>
      <x:c r="D20" s="22" t="n">
        <x:f>B20*Premissas!$C$3</x:f>
        <x:v>135660</x:v>
      </x:c>
      <x:c r="E20" s="22" t="n">
        <x:f>D20-F20-G20</x:f>
        <x:v>123450.59999999999</x:v>
      </x:c>
      <x:c r="F20" s="22" t="n">
        <x:f>D20*Premissas!$C$8</x:f>
        <x:v>8139.599999999999</x:v>
      </x:c>
      <x:c r="G20" s="22" t="n">
        <x:f>D20*Premissas!$C$9</x:f>
        <x:v>4069.7999999999997</x:v>
      </x:c>
      <x:c r="H20" s="22" t="n">
        <x:f>Premissas!$C$31</x:f>
        <x:v>52000</x:v>
      </x:c>
      <x:c r="I20" s="22" t="n">
        <x:f>C20*Premissas!$C$16</x:f>
        <x:v>37500</x:v>
      </x:c>
      <x:c r="J20" s="22" t="n">
        <x:f>E20-H20</x:f>
        <x:v>71450.59999999999</x:v>
      </x:c>
      <x:c r="K20" s="22" t="n">
        <x:f>J20-I20</x:f>
        <x:v>33950.59999999999</x:v>
      </x:c>
      <x:c r="L20" s="22" t="n">
        <x:f>L19+K20</x:f>
        <x:v>-1252994</x:v>
      </x:c>
    </x:row>
    <x:row r="21">
      <x:c r="A21" t="n">
        <x:v>20</x:v>
      </x:c>
      <x:c r="B21" s="20" t="n">
        <x:f>MIN(A21*Premissas!$C$7,Premissas!$C$37)</x:f>
        <x:v>1200</x:v>
      </x:c>
      <x:c r="C21" s="20" t="n">
        <x:f>IF(A21=1,B21,MAX(0,B21-B20))</x:f>
        <x:v>60</x:v>
      </x:c>
      <x:c r="D21" s="22" t="n">
        <x:f>B21*Premissas!$C$3</x:f>
        <x:v>142800</x:v>
      </x:c>
      <x:c r="E21" s="22" t="n">
        <x:f>D21-F21-G21</x:f>
        <x:v>129948</x:v>
      </x:c>
      <x:c r="F21" s="22" t="n">
        <x:f>D21*Premissas!$C$8</x:f>
        <x:v>8568</x:v>
      </x:c>
      <x:c r="G21" s="22" t="n">
        <x:f>D21*Premissas!$C$9</x:f>
        <x:v>4284</x:v>
      </x:c>
      <x:c r="H21" s="22" t="n">
        <x:f>Premissas!$C$31</x:f>
        <x:v>52000</x:v>
      </x:c>
      <x:c r="I21" s="22" t="n">
        <x:f>C21*Premissas!$C$16</x:f>
        <x:v>37500</x:v>
      </x:c>
      <x:c r="J21" s="22" t="n">
        <x:f>E21-H21</x:f>
        <x:v>77948</x:v>
      </x:c>
      <x:c r="K21" s="22" t="n">
        <x:f>J21-I21</x:f>
        <x:v>40448</x:v>
      </x:c>
      <x:c r="L21" s="22" t="n">
        <x:f>L20+K21</x:f>
        <x:v>-1212546</x:v>
      </x:c>
    </x:row>
    <x:row r="22">
      <x:c r="A22" t="n">
        <x:v>21</x:v>
      </x:c>
      <x:c r="B22" s="20" t="n">
        <x:f>MIN(A22*Premissas!$C$7,Premissas!$C$37)</x:f>
        <x:v>1260</x:v>
      </x:c>
      <x:c r="C22" s="20" t="n">
        <x:f>IF(A22=1,B22,MAX(0,B22-B21))</x:f>
        <x:v>60</x:v>
      </x:c>
      <x:c r="D22" s="22" t="n">
        <x:f>B22*Premissas!$C$3</x:f>
        <x:v>149940</x:v>
      </x:c>
      <x:c r="E22" s="22" t="n">
        <x:f>D22-F22-G22</x:f>
        <x:v>136445.4</x:v>
      </x:c>
      <x:c r="F22" s="22" t="n">
        <x:f>D22*Premissas!$C$8</x:f>
        <x:v>8996.4</x:v>
      </x:c>
      <x:c r="G22" s="22" t="n">
        <x:f>D22*Premissas!$C$9</x:f>
        <x:v>4498.2</x:v>
      </x:c>
      <x:c r="H22" s="22" t="n">
        <x:f>Premissas!$C$31</x:f>
        <x:v>52000</x:v>
      </x:c>
      <x:c r="I22" s="22" t="n">
        <x:f>C22*Premissas!$C$16</x:f>
        <x:v>37500</x:v>
      </x:c>
      <x:c r="J22" s="22" t="n">
        <x:f>E22-H22</x:f>
        <x:v>84445.4</x:v>
      </x:c>
      <x:c r="K22" s="22" t="n">
        <x:f>J22-I22</x:f>
        <x:v>46945.399999999994</x:v>
      </x:c>
      <x:c r="L22" s="22" t="n">
        <x:f>L21+K22</x:f>
        <x:v>-1165600.6</x:v>
      </x:c>
    </x:row>
    <x:row r="23">
      <x:c r="A23" t="n">
        <x:v>22</x:v>
      </x:c>
      <x:c r="B23" s="20" t="n">
        <x:f>MIN(A23*Premissas!$C$7,Premissas!$C$37)</x:f>
        <x:v>1320</x:v>
      </x:c>
      <x:c r="C23" s="20" t="n">
        <x:f>IF(A23=1,B23,MAX(0,B23-B22))</x:f>
        <x:v>60</x:v>
      </x:c>
      <x:c r="D23" s="22" t="n">
        <x:f>B23*Premissas!$C$3</x:f>
        <x:v>157080</x:v>
      </x:c>
      <x:c r="E23" s="22" t="n">
        <x:f>D23-F23-G23</x:f>
        <x:v>142942.80000000002</x:v>
      </x:c>
      <x:c r="F23" s="22" t="n">
        <x:f>D23*Premissas!$C$8</x:f>
        <x:v>9424.8</x:v>
      </x:c>
      <x:c r="G23" s="22" t="n">
        <x:f>D23*Premissas!$C$9</x:f>
        <x:v>4712.4</x:v>
      </x:c>
      <x:c r="H23" s="22" t="n">
        <x:f>Premissas!$C$31</x:f>
        <x:v>52000</x:v>
      </x:c>
      <x:c r="I23" s="22" t="n">
        <x:f>C23*Premissas!$C$16</x:f>
        <x:v>37500</x:v>
      </x:c>
      <x:c r="J23" s="22" t="n">
        <x:f>E23-H23</x:f>
        <x:v>90942.80000000002</x:v>
      </x:c>
      <x:c r="K23" s="22" t="n">
        <x:f>J23-I23</x:f>
        <x:v>53442.80000000002</x:v>
      </x:c>
      <x:c r="L23" s="22" t="n">
        <x:f>L22+K23</x:f>
        <x:v>-1112157.8</x:v>
      </x:c>
    </x:row>
    <x:row r="24">
      <x:c r="A24" t="n">
        <x:v>23</x:v>
      </x:c>
      <x:c r="B24" s="20" t="n">
        <x:f>MIN(A24*Premissas!$C$7,Premissas!$C$37)</x:f>
        <x:v>1380</x:v>
      </x:c>
      <x:c r="C24" s="20" t="n">
        <x:f>IF(A24=1,B24,MAX(0,B24-B23))</x:f>
        <x:v>60</x:v>
      </x:c>
      <x:c r="D24" s="22" t="n">
        <x:f>B24*Premissas!$C$3</x:f>
        <x:v>164220</x:v>
      </x:c>
      <x:c r="E24" s="22" t="n">
        <x:f>D24-F24-G24</x:f>
        <x:v>149440.19999999998</x:v>
      </x:c>
      <x:c r="F24" s="22" t="n">
        <x:f>D24*Premissas!$C$8</x:f>
        <x:v>9853.199999999999</x:v>
      </x:c>
      <x:c r="G24" s="22" t="n">
        <x:f>D24*Premissas!$C$9</x:f>
        <x:v>4926.599999999999</x:v>
      </x:c>
      <x:c r="H24" s="22" t="n">
        <x:f>Premissas!$C$31</x:f>
        <x:v>52000</x:v>
      </x:c>
      <x:c r="I24" s="22" t="n">
        <x:f>C24*Premissas!$C$16</x:f>
        <x:v>37500</x:v>
      </x:c>
      <x:c r="J24" s="22" t="n">
        <x:f>E24-H24</x:f>
        <x:v>97440.19999999998</x:v>
      </x:c>
      <x:c r="K24" s="22" t="n">
        <x:f>J24-I24</x:f>
        <x:v>59940.19999999998</x:v>
      </x:c>
      <x:c r="L24" s="22" t="n">
        <x:f>L23+K24</x:f>
        <x:v>-1052217.6</x:v>
      </x:c>
    </x:row>
    <x:row r="25">
      <x:c r="A25" t="n">
        <x:v>24</x:v>
      </x:c>
      <x:c r="B25" s="20" t="n">
        <x:f>MIN(A25*Premissas!$C$7,Premissas!$C$37)</x:f>
        <x:v>1440</x:v>
      </x:c>
      <x:c r="C25" s="20" t="n">
        <x:f>IF(A25=1,B25,MAX(0,B25-B24))</x:f>
        <x:v>60</x:v>
      </x:c>
      <x:c r="D25" s="22" t="n">
        <x:f>B25*Premissas!$C$3</x:f>
        <x:v>171360</x:v>
      </x:c>
      <x:c r="E25" s="22" t="n">
        <x:f>D25-F25-G25</x:f>
        <x:v>155937.6</x:v>
      </x:c>
      <x:c r="F25" s="22" t="n">
        <x:f>D25*Premissas!$C$8</x:f>
        <x:v>10281.6</x:v>
      </x:c>
      <x:c r="G25" s="22" t="n">
        <x:f>D25*Premissas!$C$9</x:f>
        <x:v>5140.8</x:v>
      </x:c>
      <x:c r="H25" s="22" t="n">
        <x:f>Premissas!$C$31</x:f>
        <x:v>52000</x:v>
      </x:c>
      <x:c r="I25" s="22" t="n">
        <x:f>C25*Premissas!$C$16</x:f>
        <x:v>37500</x:v>
      </x:c>
      <x:c r="J25" s="22" t="n">
        <x:f>E25-H25</x:f>
        <x:v>103937.6</x:v>
      </x:c>
      <x:c r="K25" s="22" t="n">
        <x:f>J25-I25</x:f>
        <x:v>66437.6</x:v>
      </x:c>
      <x:c r="L25" s="22" t="n">
        <x:f>L24+K25</x:f>
        <x:v>-985780.0000000001</x:v>
      </x:c>
    </x:row>
    <x:row r="26">
      <x:c r="A26" t="n">
        <x:v>25</x:v>
      </x:c>
      <x:c r="B26" s="20" t="n">
        <x:f>MIN(A26*Premissas!$C$7,Premissas!$C$37)</x:f>
        <x:v>1500</x:v>
      </x:c>
      <x:c r="C26" s="20" t="n">
        <x:f>IF(A26=1,B26,MAX(0,B26-B25))</x:f>
        <x:v>60</x:v>
      </x:c>
      <x:c r="D26" s="22" t="n">
        <x:f>B26*Premissas!$C$3</x:f>
        <x:v>178500</x:v>
      </x:c>
      <x:c r="E26" s="22" t="n">
        <x:f>D26-F26-G26</x:f>
        <x:v>162435</x:v>
      </x:c>
      <x:c r="F26" s="22" t="n">
        <x:f>D26*Premissas!$C$8</x:f>
        <x:v>10710</x:v>
      </x:c>
      <x:c r="G26" s="22" t="n">
        <x:f>D26*Premissas!$C$9</x:f>
        <x:v>5355</x:v>
      </x:c>
      <x:c r="H26" s="22" t="n">
        <x:f>Premissas!$C$31</x:f>
        <x:v>52000</x:v>
      </x:c>
      <x:c r="I26" s="22" t="n">
        <x:f>C26*Premissas!$C$16</x:f>
        <x:v>37500</x:v>
      </x:c>
      <x:c r="J26" s="22" t="n">
        <x:f>E26-H26</x:f>
        <x:v>110435</x:v>
      </x:c>
      <x:c r="K26" s="22" t="n">
        <x:f>J26-I26</x:f>
        <x:v>72935</x:v>
      </x:c>
      <x:c r="L26" s="22" t="n">
        <x:f>L25+K26</x:f>
        <x:v>-912845.0000000001</x:v>
      </x:c>
    </x:row>
    <x:row r="27">
      <x:c r="A27" t="n">
        <x:v>26</x:v>
      </x:c>
      <x:c r="B27" s="20" t="n">
        <x:f>MIN(A27*Premissas!$C$7,Premissas!$C$37)</x:f>
        <x:v>1500</x:v>
      </x:c>
      <x:c r="C27" s="20" t="n">
        <x:f>IF(A27=1,B27,MAX(0,B27-B26))</x:f>
        <x:v>0</x:v>
      </x:c>
      <x:c r="D27" s="22" t="n">
        <x:f>B27*Premissas!$C$3</x:f>
        <x:v>178500</x:v>
      </x:c>
      <x:c r="E27" s="22" t="n">
        <x:f>D27-F27-G27</x:f>
        <x:v>162435</x:v>
      </x:c>
      <x:c r="F27" s="22" t="n">
        <x:f>D27*Premissas!$C$8</x:f>
        <x:v>10710</x:v>
      </x:c>
      <x:c r="G27" s="22" t="n">
        <x:f>D27*Premissas!$C$9</x:f>
        <x:v>5355</x:v>
      </x:c>
      <x:c r="H27" s="22" t="n">
        <x:f>Premissas!$C$31</x:f>
        <x:v>52000</x:v>
      </x:c>
      <x:c r="I27" s="22" t="n">
        <x:f>C27*Premissas!$C$16</x:f>
        <x:v>0</x:v>
      </x:c>
      <x:c r="J27" s="22" t="n">
        <x:f>E27-H27</x:f>
        <x:v>110435</x:v>
      </x:c>
      <x:c r="K27" s="22" t="n">
        <x:f>J27-I27</x:f>
        <x:v>110435</x:v>
      </x:c>
      <x:c r="L27" s="22" t="n">
        <x:f>L26+K27</x:f>
        <x:v>-802410.0000000001</x:v>
      </x:c>
    </x:row>
    <x:row r="28">
      <x:c r="A28" t="n">
        <x:v>27</x:v>
      </x:c>
      <x:c r="B28" s="20" t="n">
        <x:f>MIN(A28*Premissas!$C$7,Premissas!$C$37)</x:f>
        <x:v>1500</x:v>
      </x:c>
      <x:c r="C28" s="20" t="n">
        <x:f>IF(A28=1,B28,MAX(0,B28-B27))</x:f>
        <x:v>0</x:v>
      </x:c>
      <x:c r="D28" s="22" t="n">
        <x:f>B28*Premissas!$C$3</x:f>
        <x:v>178500</x:v>
      </x:c>
      <x:c r="E28" s="22" t="n">
        <x:f>D28-F28-G28</x:f>
        <x:v>162435</x:v>
      </x:c>
      <x:c r="F28" s="22" t="n">
        <x:f>D28*Premissas!$C$8</x:f>
        <x:v>10710</x:v>
      </x:c>
      <x:c r="G28" s="22" t="n">
        <x:f>D28*Premissas!$C$9</x:f>
        <x:v>5355</x:v>
      </x:c>
      <x:c r="H28" s="22" t="n">
        <x:f>Premissas!$C$31</x:f>
        <x:v>52000</x:v>
      </x:c>
      <x:c r="I28" s="22" t="n">
        <x:f>C28*Premissas!$C$16</x:f>
        <x:v>0</x:v>
      </x:c>
      <x:c r="J28" s="22" t="n">
        <x:f>E28-H28</x:f>
        <x:v>110435</x:v>
      </x:c>
      <x:c r="K28" s="22" t="n">
        <x:f>J28-I28</x:f>
        <x:v>110435</x:v>
      </x:c>
      <x:c r="L28" s="22" t="n">
        <x:f>L27+K28</x:f>
        <x:v>-691975.0000000001</x:v>
      </x:c>
    </x:row>
    <x:row r="29">
      <x:c r="A29" t="n">
        <x:v>28</x:v>
      </x:c>
      <x:c r="B29" s="20" t="n">
        <x:f>MIN(A29*Premissas!$C$7,Premissas!$C$37)</x:f>
        <x:v>1500</x:v>
      </x:c>
      <x:c r="C29" s="20" t="n">
        <x:f>IF(A29=1,B29,MAX(0,B29-B28))</x:f>
        <x:v>0</x:v>
      </x:c>
      <x:c r="D29" s="22" t="n">
        <x:f>B29*Premissas!$C$3</x:f>
        <x:v>178500</x:v>
      </x:c>
      <x:c r="E29" s="22" t="n">
        <x:f>D29-F29-G29</x:f>
        <x:v>162435</x:v>
      </x:c>
      <x:c r="F29" s="22" t="n">
        <x:f>D29*Premissas!$C$8</x:f>
        <x:v>10710</x:v>
      </x:c>
      <x:c r="G29" s="22" t="n">
        <x:f>D29*Premissas!$C$9</x:f>
        <x:v>5355</x:v>
      </x:c>
      <x:c r="H29" s="22" t="n">
        <x:f>Premissas!$C$31</x:f>
        <x:v>52000</x:v>
      </x:c>
      <x:c r="I29" s="22" t="n">
        <x:f>C29*Premissas!$C$16</x:f>
        <x:v>0</x:v>
      </x:c>
      <x:c r="J29" s="22" t="n">
        <x:f>E29-H29</x:f>
        <x:v>110435</x:v>
      </x:c>
      <x:c r="K29" s="22" t="n">
        <x:f>J29-I29</x:f>
        <x:v>110435</x:v>
      </x:c>
      <x:c r="L29" s="22" t="n">
        <x:f>L28+K29</x:f>
        <x:v>-581540.0000000001</x:v>
      </x:c>
    </x:row>
    <x:row r="30">
      <x:c r="A30" t="n">
        <x:v>29</x:v>
      </x:c>
      <x:c r="B30" s="20" t="n">
        <x:f>MIN(A30*Premissas!$C$7,Premissas!$C$37)</x:f>
        <x:v>1500</x:v>
      </x:c>
      <x:c r="C30" s="20" t="n">
        <x:f>IF(A30=1,B30,MAX(0,B30-B29))</x:f>
        <x:v>0</x:v>
      </x:c>
      <x:c r="D30" s="22" t="n">
        <x:f>B30*Premissas!$C$3</x:f>
        <x:v>178500</x:v>
      </x:c>
      <x:c r="E30" s="22" t="n">
        <x:f>D30-F30-G30</x:f>
        <x:v>162435</x:v>
      </x:c>
      <x:c r="F30" s="22" t="n">
        <x:f>D30*Premissas!$C$8</x:f>
        <x:v>10710</x:v>
      </x:c>
      <x:c r="G30" s="22" t="n">
        <x:f>D30*Premissas!$C$9</x:f>
        <x:v>5355</x:v>
      </x:c>
      <x:c r="H30" s="22" t="n">
        <x:f>Premissas!$C$31</x:f>
        <x:v>52000</x:v>
      </x:c>
      <x:c r="I30" s="22" t="n">
        <x:f>C30*Premissas!$C$16</x:f>
        <x:v>0</x:v>
      </x:c>
      <x:c r="J30" s="22" t="n">
        <x:f>E30-H30</x:f>
        <x:v>110435</x:v>
      </x:c>
      <x:c r="K30" s="22" t="n">
        <x:f>J30-I30</x:f>
        <x:v>110435</x:v>
      </x:c>
      <x:c r="L30" s="22" t="n">
        <x:f>L29+K30</x:f>
        <x:v>-471105.0000000001</x:v>
      </x:c>
    </x:row>
    <x:row r="31">
      <x:c r="A31" t="n">
        <x:v>30</x:v>
      </x:c>
      <x:c r="B31" s="20" t="n">
        <x:f>MIN(A31*Premissas!$C$7,Premissas!$C$37)</x:f>
        <x:v>1500</x:v>
      </x:c>
      <x:c r="C31" s="20" t="n">
        <x:f>IF(A31=1,B31,MAX(0,B31-B30))</x:f>
        <x:v>0</x:v>
      </x:c>
      <x:c r="D31" s="22" t="n">
        <x:f>B31*Premissas!$C$3</x:f>
        <x:v>178500</x:v>
      </x:c>
      <x:c r="E31" s="22" t="n">
        <x:f>D31-F31-G31</x:f>
        <x:v>162435</x:v>
      </x:c>
      <x:c r="F31" s="22" t="n">
        <x:f>D31*Premissas!$C$8</x:f>
        <x:v>10710</x:v>
      </x:c>
      <x:c r="G31" s="22" t="n">
        <x:f>D31*Premissas!$C$9</x:f>
        <x:v>5355</x:v>
      </x:c>
      <x:c r="H31" s="22" t="n">
        <x:f>Premissas!$C$31</x:f>
        <x:v>52000</x:v>
      </x:c>
      <x:c r="I31" s="22" t="n">
        <x:f>C31*Premissas!$C$16</x:f>
        <x:v>0</x:v>
      </x:c>
      <x:c r="J31" s="22" t="n">
        <x:f>E31-H31</x:f>
        <x:v>110435</x:v>
      </x:c>
      <x:c r="K31" s="22" t="n">
        <x:f>J31-I31</x:f>
        <x:v>110435</x:v>
      </x:c>
      <x:c r="L31" s="22" t="n">
        <x:f>L30+K31</x:f>
        <x:v>-360670.0000000001</x:v>
      </x:c>
    </x:row>
    <x:row r="32">
      <x:c r="A32" t="n">
        <x:v>31</x:v>
      </x:c>
      <x:c r="B32" s="20" t="n">
        <x:f>MIN(A32*Premissas!$C$7,Premissas!$C$37)</x:f>
        <x:v>1500</x:v>
      </x:c>
      <x:c r="C32" s="20" t="n">
        <x:f>IF(A32=1,B32,MAX(0,B32-B31))</x:f>
        <x:v>0</x:v>
      </x:c>
      <x:c r="D32" s="22" t="n">
        <x:f>B32*Premissas!$C$3</x:f>
        <x:v>178500</x:v>
      </x:c>
      <x:c r="E32" s="22" t="n">
        <x:f>D32-F32-G32</x:f>
        <x:v>162435</x:v>
      </x:c>
      <x:c r="F32" s="22" t="n">
        <x:f>D32*Premissas!$C$8</x:f>
        <x:v>10710</x:v>
      </x:c>
      <x:c r="G32" s="22" t="n">
        <x:f>D32*Premissas!$C$9</x:f>
        <x:v>5355</x:v>
      </x:c>
      <x:c r="H32" s="22" t="n">
        <x:f>Premissas!$C$31</x:f>
        <x:v>52000</x:v>
      </x:c>
      <x:c r="I32" s="22" t="n">
        <x:f>C32*Premissas!$C$16</x:f>
        <x:v>0</x:v>
      </x:c>
      <x:c r="J32" s="22" t="n">
        <x:f>E32-H32</x:f>
        <x:v>110435</x:v>
      </x:c>
      <x:c r="K32" s="22" t="n">
        <x:f>J32-I32</x:f>
        <x:v>110435</x:v>
      </x:c>
      <x:c r="L32" s="22" t="n">
        <x:f>L31+K32</x:f>
        <x:v>-250235.00000000012</x:v>
      </x:c>
    </x:row>
    <x:row r="33">
      <x:c r="A33" t="n">
        <x:v>32</x:v>
      </x:c>
      <x:c r="B33" s="20" t="n">
        <x:f>MIN(A33*Premissas!$C$7,Premissas!$C$37)</x:f>
        <x:v>1500</x:v>
      </x:c>
      <x:c r="C33" s="20" t="n">
        <x:f>IF(A33=1,B33,MAX(0,B33-B32))</x:f>
        <x:v>0</x:v>
      </x:c>
      <x:c r="D33" s="22" t="n">
        <x:f>B33*Premissas!$C$3</x:f>
        <x:v>178500</x:v>
      </x:c>
      <x:c r="E33" s="22" t="n">
        <x:f>D33-F33-G33</x:f>
        <x:v>162435</x:v>
      </x:c>
      <x:c r="F33" s="22" t="n">
        <x:f>D33*Premissas!$C$8</x:f>
        <x:v>10710</x:v>
      </x:c>
      <x:c r="G33" s="22" t="n">
        <x:f>D33*Premissas!$C$9</x:f>
        <x:v>5355</x:v>
      </x:c>
      <x:c r="H33" s="22" t="n">
        <x:f>Premissas!$C$31</x:f>
        <x:v>52000</x:v>
      </x:c>
      <x:c r="I33" s="22" t="n">
        <x:f>C33*Premissas!$C$16</x:f>
        <x:v>0</x:v>
      </x:c>
      <x:c r="J33" s="22" t="n">
        <x:f>E33-H33</x:f>
        <x:v>110435</x:v>
      </x:c>
      <x:c r="K33" s="22" t="n">
        <x:f>J33-I33</x:f>
        <x:v>110435</x:v>
      </x:c>
      <x:c r="L33" s="22" t="n">
        <x:f>L32+K33</x:f>
        <x:v>-139800.00000000012</x:v>
      </x:c>
    </x:row>
    <x:row r="34">
      <x:c r="A34" t="n">
        <x:v>33</x:v>
      </x:c>
      <x:c r="B34" s="20" t="n">
        <x:f>MIN(A34*Premissas!$C$7,Premissas!$C$37)</x:f>
        <x:v>1500</x:v>
      </x:c>
      <x:c r="C34" s="20" t="n">
        <x:f>IF(A34=1,B34,MAX(0,B34-B33))</x:f>
        <x:v>0</x:v>
      </x:c>
      <x:c r="D34" s="22" t="n">
        <x:f>B34*Premissas!$C$3</x:f>
        <x:v>178500</x:v>
      </x:c>
      <x:c r="E34" s="22" t="n">
        <x:f>D34-F34-G34</x:f>
        <x:v>162435</x:v>
      </x:c>
      <x:c r="F34" s="22" t="n">
        <x:f>D34*Premissas!$C$8</x:f>
        <x:v>10710</x:v>
      </x:c>
      <x:c r="G34" s="22" t="n">
        <x:f>D34*Premissas!$C$9</x:f>
        <x:v>5355</x:v>
      </x:c>
      <x:c r="H34" s="22" t="n">
        <x:f>Premissas!$C$31</x:f>
        <x:v>52000</x:v>
      </x:c>
      <x:c r="I34" s="22" t="n">
        <x:f>C34*Premissas!$C$16</x:f>
        <x:v>0</x:v>
      </x:c>
      <x:c r="J34" s="22" t="n">
        <x:f>E34-H34</x:f>
        <x:v>110435</x:v>
      </x:c>
      <x:c r="K34" s="22" t="n">
        <x:f>J34-I34</x:f>
        <x:v>110435</x:v>
      </x:c>
      <x:c r="L34" s="22" t="n">
        <x:f>L33+K34</x:f>
        <x:v>-29365.000000000116</x:v>
      </x:c>
    </x:row>
    <x:row r="35">
      <x:c r="A35" t="n">
        <x:v>34</x:v>
      </x:c>
      <x:c r="B35" s="20" t="n">
        <x:f>MIN(A35*Premissas!$C$7,Premissas!$C$37)</x:f>
        <x:v>1500</x:v>
      </x:c>
      <x:c r="C35" s="20" t="n">
        <x:f>IF(A35=1,B35,MAX(0,B35-B34))</x:f>
        <x:v>0</x:v>
      </x:c>
      <x:c r="D35" s="22" t="n">
        <x:f>B35*Premissas!$C$3</x:f>
        <x:v>178500</x:v>
      </x:c>
      <x:c r="E35" s="22" t="n">
        <x:f>D35-F35-G35</x:f>
        <x:v>162435</x:v>
      </x:c>
      <x:c r="F35" s="22" t="n">
        <x:f>D35*Premissas!$C$8</x:f>
        <x:v>10710</x:v>
      </x:c>
      <x:c r="G35" s="22" t="n">
        <x:f>D35*Premissas!$C$9</x:f>
        <x:v>5355</x:v>
      </x:c>
      <x:c r="H35" s="22" t="n">
        <x:f>Premissas!$C$31</x:f>
        <x:v>52000</x:v>
      </x:c>
      <x:c r="I35" s="22" t="n">
        <x:f>C35*Premissas!$C$16</x:f>
        <x:v>0</x:v>
      </x:c>
      <x:c r="J35" s="22" t="n">
        <x:f>E35-H35</x:f>
        <x:v>110435</x:v>
      </x:c>
      <x:c r="K35" s="22" t="n">
        <x:f>J35-I35</x:f>
        <x:v>110435</x:v>
      </x:c>
      <x:c r="L35" s="22" t="n">
        <x:f>L34+K35</x:f>
        <x:v>81069.99999999988</x:v>
      </x:c>
    </x:row>
    <x:row r="36">
      <x:c r="A36" t="n">
        <x:v>35</x:v>
      </x:c>
      <x:c r="B36" s="20" t="n">
        <x:f>MIN(A36*Premissas!$C$7,Premissas!$C$37)</x:f>
        <x:v>1500</x:v>
      </x:c>
      <x:c r="C36" s="20" t="n">
        <x:f>IF(A36=1,B36,MAX(0,B36-B35))</x:f>
        <x:v>0</x:v>
      </x:c>
      <x:c r="D36" s="22" t="n">
        <x:f>B36*Premissas!$C$3</x:f>
        <x:v>178500</x:v>
      </x:c>
      <x:c r="E36" s="22" t="n">
        <x:f>D36-F36-G36</x:f>
        <x:v>162435</x:v>
      </x:c>
      <x:c r="F36" s="22" t="n">
        <x:f>D36*Premissas!$C$8</x:f>
        <x:v>10710</x:v>
      </x:c>
      <x:c r="G36" s="22" t="n">
        <x:f>D36*Premissas!$C$9</x:f>
        <x:v>5355</x:v>
      </x:c>
      <x:c r="H36" s="22" t="n">
        <x:f>Premissas!$C$31</x:f>
        <x:v>52000</x:v>
      </x:c>
      <x:c r="I36" s="22" t="n">
        <x:f>C36*Premissas!$C$16</x:f>
        <x:v>0</x:v>
      </x:c>
      <x:c r="J36" s="22" t="n">
        <x:f>E36-H36</x:f>
        <x:v>110435</x:v>
      </x:c>
      <x:c r="K36" s="22" t="n">
        <x:f>J36-I36</x:f>
        <x:v>110435</x:v>
      </x:c>
      <x:c r="L36" s="22" t="n">
        <x:f>L35+K36</x:f>
        <x:v>191504.99999999988</x:v>
      </x:c>
    </x:row>
    <x:row r="37">
      <x:c r="A37" t="n">
        <x:v>36</x:v>
      </x:c>
      <x:c r="B37" s="20" t="n">
        <x:f>MIN(A37*Premissas!$C$7,Premissas!$C$37)</x:f>
        <x:v>1500</x:v>
      </x:c>
      <x:c r="C37" s="20" t="n">
        <x:f>IF(A37=1,B37,MAX(0,B37-B36))</x:f>
        <x:v>0</x:v>
      </x:c>
      <x:c r="D37" s="22" t="n">
        <x:f>B37*Premissas!$C$3</x:f>
        <x:v>178500</x:v>
      </x:c>
      <x:c r="E37" s="22" t="n">
        <x:f>D37-F37-G37</x:f>
        <x:v>162435</x:v>
      </x:c>
      <x:c r="F37" s="22" t="n">
        <x:f>D37*Premissas!$C$8</x:f>
        <x:v>10710</x:v>
      </x:c>
      <x:c r="G37" s="22" t="n">
        <x:f>D37*Premissas!$C$9</x:f>
        <x:v>5355</x:v>
      </x:c>
      <x:c r="H37" s="22" t="n">
        <x:f>Premissas!$C$31</x:f>
        <x:v>52000</x:v>
      </x:c>
      <x:c r="I37" s="22" t="n">
        <x:f>C37*Premissas!$C$16</x:f>
        <x:v>0</x:v>
      </x:c>
      <x:c r="J37" s="22" t="n">
        <x:f>E37-H37</x:f>
        <x:v>110435</x:v>
      </x:c>
      <x:c r="K37" s="22" t="n">
        <x:f>J37-I37</x:f>
        <x:v>110435</x:v>
      </x:c>
      <x:c r="L37" s="22" t="n">
        <x:f>L36+K37</x:f>
        <x:v>301939.9999999999</x:v>
      </x:c>
    </x:row>
    <x:row r="38">
      <x:c r="A38" t="n">
        <x:v>37</x:v>
      </x:c>
      <x:c r="B38" s="20" t="n">
        <x:f>MIN(A38*Premissas!$C$7,Premissas!$C$37)</x:f>
        <x:v>1500</x:v>
      </x:c>
      <x:c r="C38" s="20" t="n">
        <x:f>IF(A38=1,B38,MAX(0,B38-B37))</x:f>
        <x:v>0</x:v>
      </x:c>
      <x:c r="D38" s="22" t="n">
        <x:f>B38*Premissas!$C$3</x:f>
        <x:v>178500</x:v>
      </x:c>
      <x:c r="E38" s="22" t="n">
        <x:f>D38-F38-G38</x:f>
        <x:v>162435</x:v>
      </x:c>
      <x:c r="F38" s="22" t="n">
        <x:f>D38*Premissas!$C$8</x:f>
        <x:v>10710</x:v>
      </x:c>
      <x:c r="G38" s="22" t="n">
        <x:f>D38*Premissas!$C$9</x:f>
        <x:v>5355</x:v>
      </x:c>
      <x:c r="H38" s="22" t="n">
        <x:f>Premissas!$C$31</x:f>
        <x:v>52000</x:v>
      </x:c>
      <x:c r="I38" s="22" t="n">
        <x:f>C38*Premissas!$C$16</x:f>
        <x:v>0</x:v>
      </x:c>
      <x:c r="J38" s="22" t="n">
        <x:f>E38-H38</x:f>
        <x:v>110435</x:v>
      </x:c>
      <x:c r="K38" s="22" t="n">
        <x:f>J38-I38</x:f>
        <x:v>110435</x:v>
      </x:c>
      <x:c r="L38" s="22" t="n">
        <x:f>L37+K38</x:f>
        <x:v>412374.9999999999</x:v>
      </x:c>
    </x:row>
    <x:row r="39">
      <x:c r="A39" t="n">
        <x:v>38</x:v>
      </x:c>
      <x:c r="B39" s="20" t="n">
        <x:f>MIN(A39*Premissas!$C$7,Premissas!$C$37)</x:f>
        <x:v>1500</x:v>
      </x:c>
      <x:c r="C39" s="20" t="n">
        <x:f>IF(A39=1,B39,MAX(0,B39-B38))</x:f>
        <x:v>0</x:v>
      </x:c>
      <x:c r="D39" s="22" t="n">
        <x:f>B39*Premissas!$C$3</x:f>
        <x:v>178500</x:v>
      </x:c>
      <x:c r="E39" s="22" t="n">
        <x:f>D39-F39-G39</x:f>
        <x:v>162435</x:v>
      </x:c>
      <x:c r="F39" s="22" t="n">
        <x:f>D39*Premissas!$C$8</x:f>
        <x:v>10710</x:v>
      </x:c>
      <x:c r="G39" s="22" t="n">
        <x:f>D39*Premissas!$C$9</x:f>
        <x:v>5355</x:v>
      </x:c>
      <x:c r="H39" s="22" t="n">
        <x:f>Premissas!$C$31</x:f>
        <x:v>52000</x:v>
      </x:c>
      <x:c r="I39" s="22" t="n">
        <x:f>C39*Premissas!$C$16</x:f>
        <x:v>0</x:v>
      </x:c>
      <x:c r="J39" s="22" t="n">
        <x:f>E39-H39</x:f>
        <x:v>110435</x:v>
      </x:c>
      <x:c r="K39" s="22" t="n">
        <x:f>J39-I39</x:f>
        <x:v>110435</x:v>
      </x:c>
      <x:c r="L39" s="22" t="n">
        <x:f>L38+K39</x:f>
        <x:v>522809.9999999999</x:v>
      </x:c>
    </x:row>
    <x:row r="40">
      <x:c r="A40" t="n">
        <x:v>39</x:v>
      </x:c>
      <x:c r="B40" s="20" t="n">
        <x:f>MIN(A40*Premissas!$C$7,Premissas!$C$37)</x:f>
        <x:v>1500</x:v>
      </x:c>
      <x:c r="C40" s="20" t="n">
        <x:f>IF(A40=1,B40,MAX(0,B40-B39))</x:f>
        <x:v>0</x:v>
      </x:c>
      <x:c r="D40" s="22" t="n">
        <x:f>B40*Premissas!$C$3</x:f>
        <x:v>178500</x:v>
      </x:c>
      <x:c r="E40" s="22" t="n">
        <x:f>D40-F40-G40</x:f>
        <x:v>162435</x:v>
      </x:c>
      <x:c r="F40" s="22" t="n">
        <x:f>D40*Premissas!$C$8</x:f>
        <x:v>10710</x:v>
      </x:c>
      <x:c r="G40" s="22" t="n">
        <x:f>D40*Premissas!$C$9</x:f>
        <x:v>5355</x:v>
      </x:c>
      <x:c r="H40" s="22" t="n">
        <x:f>Premissas!$C$31</x:f>
        <x:v>52000</x:v>
      </x:c>
      <x:c r="I40" s="22" t="n">
        <x:f>C40*Premissas!$C$16</x:f>
        <x:v>0</x:v>
      </x:c>
      <x:c r="J40" s="22" t="n">
        <x:f>E40-H40</x:f>
        <x:v>110435</x:v>
      </x:c>
      <x:c r="K40" s="22" t="n">
        <x:f>J40-I40</x:f>
        <x:v>110435</x:v>
      </x:c>
      <x:c r="L40" s="22" t="n">
        <x:f>L39+K40</x:f>
        <x:v>633244.9999999999</x:v>
      </x:c>
    </x:row>
    <x:row r="41">
      <x:c r="A41" t="n">
        <x:v>40</x:v>
      </x:c>
      <x:c r="B41" s="20" t="n">
        <x:f>MIN(A41*Premissas!$C$7,Premissas!$C$37)</x:f>
        <x:v>1500</x:v>
      </x:c>
      <x:c r="C41" s="20" t="n">
        <x:f>IF(A41=1,B41,MAX(0,B41-B40))</x:f>
        <x:v>0</x:v>
      </x:c>
      <x:c r="D41" s="22" t="n">
        <x:f>B41*Premissas!$C$3</x:f>
        <x:v>178500</x:v>
      </x:c>
      <x:c r="E41" s="22" t="n">
        <x:f>D41-F41-G41</x:f>
        <x:v>162435</x:v>
      </x:c>
      <x:c r="F41" s="22" t="n">
        <x:f>D41*Premissas!$C$8</x:f>
        <x:v>10710</x:v>
      </x:c>
      <x:c r="G41" s="22" t="n">
        <x:f>D41*Premissas!$C$9</x:f>
        <x:v>5355</x:v>
      </x:c>
      <x:c r="H41" s="22" t="n">
        <x:f>Premissas!$C$31</x:f>
        <x:v>52000</x:v>
      </x:c>
      <x:c r="I41" s="22" t="n">
        <x:f>C41*Premissas!$C$16</x:f>
        <x:v>0</x:v>
      </x:c>
      <x:c r="J41" s="22" t="n">
        <x:f>E41-H41</x:f>
        <x:v>110435</x:v>
      </x:c>
      <x:c r="K41" s="22" t="n">
        <x:f>J41-I41</x:f>
        <x:v>110435</x:v>
      </x:c>
      <x:c r="L41" s="22" t="n">
        <x:f>L40+K41</x:f>
        <x:v>743679.9999999999</x:v>
      </x:c>
    </x:row>
    <x:row r="42">
      <x:c r="A42" t="n">
        <x:v>41</x:v>
      </x:c>
      <x:c r="B42" s="20" t="n">
        <x:f>MIN(A42*Premissas!$C$7,Premissas!$C$37)</x:f>
        <x:v>1500</x:v>
      </x:c>
      <x:c r="C42" s="20" t="n">
        <x:f>IF(A42=1,B42,MAX(0,B42-B41))</x:f>
        <x:v>0</x:v>
      </x:c>
      <x:c r="D42" s="22" t="n">
        <x:f>B42*Premissas!$C$3</x:f>
        <x:v>178500</x:v>
      </x:c>
      <x:c r="E42" s="22" t="n">
        <x:f>D42-F42-G42</x:f>
        <x:v>162435</x:v>
      </x:c>
      <x:c r="F42" s="22" t="n">
        <x:f>D42*Premissas!$C$8</x:f>
        <x:v>10710</x:v>
      </x:c>
      <x:c r="G42" s="22" t="n">
        <x:f>D42*Premissas!$C$9</x:f>
        <x:v>5355</x:v>
      </x:c>
      <x:c r="H42" s="22" t="n">
        <x:f>Premissas!$C$31</x:f>
        <x:v>52000</x:v>
      </x:c>
      <x:c r="I42" s="22" t="n">
        <x:f>C42*Premissas!$C$16</x:f>
        <x:v>0</x:v>
      </x:c>
      <x:c r="J42" s="22" t="n">
        <x:f>E42-H42</x:f>
        <x:v>110435</x:v>
      </x:c>
      <x:c r="K42" s="22" t="n">
        <x:f>J42-I42</x:f>
        <x:v>110435</x:v>
      </x:c>
      <x:c r="L42" s="22" t="n">
        <x:f>L41+K42</x:f>
        <x:v>854114.9999999999</x:v>
      </x:c>
    </x:row>
    <x:row r="43">
      <x:c r="A43" t="n">
        <x:v>42</x:v>
      </x:c>
      <x:c r="B43" s="20" t="n">
        <x:f>MIN(A43*Premissas!$C$7,Premissas!$C$37)</x:f>
        <x:v>1500</x:v>
      </x:c>
      <x:c r="C43" s="20" t="n">
        <x:f>IF(A43=1,B43,MAX(0,B43-B42))</x:f>
        <x:v>0</x:v>
      </x:c>
      <x:c r="D43" s="22" t="n">
        <x:f>B43*Premissas!$C$3</x:f>
        <x:v>178500</x:v>
      </x:c>
      <x:c r="E43" s="22" t="n">
        <x:f>D43-F43-G43</x:f>
        <x:v>162435</x:v>
      </x:c>
      <x:c r="F43" s="22" t="n">
        <x:f>D43*Premissas!$C$8</x:f>
        <x:v>10710</x:v>
      </x:c>
      <x:c r="G43" s="22" t="n">
        <x:f>D43*Premissas!$C$9</x:f>
        <x:v>5355</x:v>
      </x:c>
      <x:c r="H43" s="22" t="n">
        <x:f>Premissas!$C$31</x:f>
        <x:v>52000</x:v>
      </x:c>
      <x:c r="I43" s="22" t="n">
        <x:f>C43*Premissas!$C$16</x:f>
        <x:v>0</x:v>
      </x:c>
      <x:c r="J43" s="22" t="n">
        <x:f>E43-H43</x:f>
        <x:v>110435</x:v>
      </x:c>
      <x:c r="K43" s="22" t="n">
        <x:f>J43-I43</x:f>
        <x:v>110435</x:v>
      </x:c>
      <x:c r="L43" s="22" t="n">
        <x:f>L42+K43</x:f>
        <x:v>964549.9999999999</x:v>
      </x:c>
    </x:row>
    <x:row r="44">
      <x:c r="A44" t="n">
        <x:v>43</x:v>
      </x:c>
      <x:c r="B44" s="20" t="n">
        <x:f>MIN(A44*Premissas!$C$7,Premissas!$C$37)</x:f>
        <x:v>1500</x:v>
      </x:c>
      <x:c r="C44" s="20" t="n">
        <x:f>IF(A44=1,B44,MAX(0,B44-B43))</x:f>
        <x:v>0</x:v>
      </x:c>
      <x:c r="D44" s="22" t="n">
        <x:f>B44*Premissas!$C$3</x:f>
        <x:v>178500</x:v>
      </x:c>
      <x:c r="E44" s="22" t="n">
        <x:f>D44-F44-G44</x:f>
        <x:v>162435</x:v>
      </x:c>
      <x:c r="F44" s="22" t="n">
        <x:f>D44*Premissas!$C$8</x:f>
        <x:v>10710</x:v>
      </x:c>
      <x:c r="G44" s="22" t="n">
        <x:f>D44*Premissas!$C$9</x:f>
        <x:v>5355</x:v>
      </x:c>
      <x:c r="H44" s="22" t="n">
        <x:f>Premissas!$C$31</x:f>
        <x:v>52000</x:v>
      </x:c>
      <x:c r="I44" s="22" t="n">
        <x:f>C44*Premissas!$C$16</x:f>
        <x:v>0</x:v>
      </x:c>
      <x:c r="J44" s="22" t="n">
        <x:f>E44-H44</x:f>
        <x:v>110435</x:v>
      </x:c>
      <x:c r="K44" s="22" t="n">
        <x:f>J44-I44</x:f>
        <x:v>110435</x:v>
      </x:c>
      <x:c r="L44" s="22" t="n">
        <x:f>L43+K44</x:f>
        <x:v>1074985</x:v>
      </x:c>
    </x:row>
    <x:row r="45">
      <x:c r="A45" t="n">
        <x:v>44</x:v>
      </x:c>
      <x:c r="B45" s="20" t="n">
        <x:f>MIN(A45*Premissas!$C$7,Premissas!$C$37)</x:f>
        <x:v>1500</x:v>
      </x:c>
      <x:c r="C45" s="20" t="n">
        <x:f>IF(A45=1,B45,MAX(0,B45-B44))</x:f>
        <x:v>0</x:v>
      </x:c>
      <x:c r="D45" s="22" t="n">
        <x:f>B45*Premissas!$C$3</x:f>
        <x:v>178500</x:v>
      </x:c>
      <x:c r="E45" s="22" t="n">
        <x:f>D45-F45-G45</x:f>
        <x:v>162435</x:v>
      </x:c>
      <x:c r="F45" s="22" t="n">
        <x:f>D45*Premissas!$C$8</x:f>
        <x:v>10710</x:v>
      </x:c>
      <x:c r="G45" s="22" t="n">
        <x:f>D45*Premissas!$C$9</x:f>
        <x:v>5355</x:v>
      </x:c>
      <x:c r="H45" s="22" t="n">
        <x:f>Premissas!$C$31</x:f>
        <x:v>52000</x:v>
      </x:c>
      <x:c r="I45" s="22" t="n">
        <x:f>C45*Premissas!$C$16</x:f>
        <x:v>0</x:v>
      </x:c>
      <x:c r="J45" s="22" t="n">
        <x:f>E45-H45</x:f>
        <x:v>110435</x:v>
      </x:c>
      <x:c r="K45" s="22" t="n">
        <x:f>J45-I45</x:f>
        <x:v>110435</x:v>
      </x:c>
      <x:c r="L45" s="22" t="n">
        <x:f>L44+K45</x:f>
        <x:v>1185420</x:v>
      </x:c>
    </x:row>
    <x:row r="46">
      <x:c r="A46" t="n">
        <x:v>45</x:v>
      </x:c>
      <x:c r="B46" s="20" t="n">
        <x:f>MIN(A46*Premissas!$C$7,Premissas!$C$37)</x:f>
        <x:v>1500</x:v>
      </x:c>
      <x:c r="C46" s="20" t="n">
        <x:f>IF(A46=1,B46,MAX(0,B46-B45))</x:f>
        <x:v>0</x:v>
      </x:c>
      <x:c r="D46" s="22" t="n">
        <x:f>B46*Premissas!$C$3</x:f>
        <x:v>178500</x:v>
      </x:c>
      <x:c r="E46" s="22" t="n">
        <x:f>D46-F46-G46</x:f>
        <x:v>162435</x:v>
      </x:c>
      <x:c r="F46" s="22" t="n">
        <x:f>D46*Premissas!$C$8</x:f>
        <x:v>10710</x:v>
      </x:c>
      <x:c r="G46" s="22" t="n">
        <x:f>D46*Premissas!$C$9</x:f>
        <x:v>5355</x:v>
      </x:c>
      <x:c r="H46" s="22" t="n">
        <x:f>Premissas!$C$31</x:f>
        <x:v>52000</x:v>
      </x:c>
      <x:c r="I46" s="22" t="n">
        <x:f>C46*Premissas!$C$16</x:f>
        <x:v>0</x:v>
      </x:c>
      <x:c r="J46" s="22" t="n">
        <x:f>E46-H46</x:f>
        <x:v>110435</x:v>
      </x:c>
      <x:c r="K46" s="22" t="n">
        <x:f>J46-I46</x:f>
        <x:v>110435</x:v>
      </x:c>
      <x:c r="L46" s="22" t="n">
        <x:f>L45+K46</x:f>
        <x:v>1295855</x:v>
      </x:c>
    </x:row>
    <x:row r="47">
      <x:c r="A47" t="n">
        <x:v>46</x:v>
      </x:c>
      <x:c r="B47" s="20" t="n">
        <x:f>MIN(A47*Premissas!$C$7,Premissas!$C$37)</x:f>
        <x:v>1500</x:v>
      </x:c>
      <x:c r="C47" s="20" t="n">
        <x:f>IF(A47=1,B47,MAX(0,B47-B46))</x:f>
        <x:v>0</x:v>
      </x:c>
      <x:c r="D47" s="22" t="n">
        <x:f>B47*Premissas!$C$3</x:f>
        <x:v>178500</x:v>
      </x:c>
      <x:c r="E47" s="22" t="n">
        <x:f>D47-F47-G47</x:f>
        <x:v>162435</x:v>
      </x:c>
      <x:c r="F47" s="22" t="n">
        <x:f>D47*Premissas!$C$8</x:f>
        <x:v>10710</x:v>
      </x:c>
      <x:c r="G47" s="22" t="n">
        <x:f>D47*Premissas!$C$9</x:f>
        <x:v>5355</x:v>
      </x:c>
      <x:c r="H47" s="22" t="n">
        <x:f>Premissas!$C$31</x:f>
        <x:v>52000</x:v>
      </x:c>
      <x:c r="I47" s="22" t="n">
        <x:f>C47*Premissas!$C$16</x:f>
        <x:v>0</x:v>
      </x:c>
      <x:c r="J47" s="22" t="n">
        <x:f>E47-H47</x:f>
        <x:v>110435</x:v>
      </x:c>
      <x:c r="K47" s="22" t="n">
        <x:f>J47-I47</x:f>
        <x:v>110435</x:v>
      </x:c>
      <x:c r="L47" s="22" t="n">
        <x:f>L46+K47</x:f>
        <x:v>1406290</x:v>
      </x:c>
    </x:row>
    <x:row r="48">
      <x:c r="A48" t="n">
        <x:v>47</x:v>
      </x:c>
      <x:c r="B48" s="20" t="n">
        <x:f>MIN(A48*Premissas!$C$7,Premissas!$C$37)</x:f>
        <x:v>1500</x:v>
      </x:c>
      <x:c r="C48" s="20" t="n">
        <x:f>IF(A48=1,B48,MAX(0,B48-B47))</x:f>
        <x:v>0</x:v>
      </x:c>
      <x:c r="D48" s="22" t="n">
        <x:f>B48*Premissas!$C$3</x:f>
        <x:v>178500</x:v>
      </x:c>
      <x:c r="E48" s="22" t="n">
        <x:f>D48-F48-G48</x:f>
        <x:v>162435</x:v>
      </x:c>
      <x:c r="F48" s="22" t="n">
        <x:f>D48*Premissas!$C$8</x:f>
        <x:v>10710</x:v>
      </x:c>
      <x:c r="G48" s="22" t="n">
        <x:f>D48*Premissas!$C$9</x:f>
        <x:v>5355</x:v>
      </x:c>
      <x:c r="H48" s="22" t="n">
        <x:f>Premissas!$C$31</x:f>
        <x:v>52000</x:v>
      </x:c>
      <x:c r="I48" s="22" t="n">
        <x:f>C48*Premissas!$C$16</x:f>
        <x:v>0</x:v>
      </x:c>
      <x:c r="J48" s="22" t="n">
        <x:f>E48-H48</x:f>
        <x:v>110435</x:v>
      </x:c>
      <x:c r="K48" s="22" t="n">
        <x:f>J48-I48</x:f>
        <x:v>110435</x:v>
      </x:c>
      <x:c r="L48" s="22" t="n">
        <x:f>L47+K48</x:f>
        <x:v>1516725</x:v>
      </x:c>
    </x:row>
    <x:row r="49">
      <x:c r="A49" t="n">
        <x:v>48</x:v>
      </x:c>
      <x:c r="B49" s="20" t="n">
        <x:f>MIN(A49*Premissas!$C$7,Premissas!$C$37)</x:f>
        <x:v>1500</x:v>
      </x:c>
      <x:c r="C49" s="20" t="n">
        <x:f>IF(A49=1,B49,MAX(0,B49-B48))</x:f>
        <x:v>0</x:v>
      </x:c>
      <x:c r="D49" s="22" t="n">
        <x:f>B49*Premissas!$C$3</x:f>
        <x:v>178500</x:v>
      </x:c>
      <x:c r="E49" s="22" t="n">
        <x:f>D49-F49-G49</x:f>
        <x:v>162435</x:v>
      </x:c>
      <x:c r="F49" s="22" t="n">
        <x:f>D49*Premissas!$C$8</x:f>
        <x:v>10710</x:v>
      </x:c>
      <x:c r="G49" s="22" t="n">
        <x:f>D49*Premissas!$C$9</x:f>
        <x:v>5355</x:v>
      </x:c>
      <x:c r="H49" s="22" t="n">
        <x:f>Premissas!$C$31</x:f>
        <x:v>52000</x:v>
      </x:c>
      <x:c r="I49" s="22" t="n">
        <x:f>C49*Premissas!$C$16</x:f>
        <x:v>0</x:v>
      </x:c>
      <x:c r="J49" s="22" t="n">
        <x:f>E49-H49</x:f>
        <x:v>110435</x:v>
      </x:c>
      <x:c r="K49" s="22" t="n">
        <x:f>J49-I49</x:f>
        <x:v>110435</x:v>
      </x:c>
      <x:c r="L49" s="22" t="n">
        <x:f>L48+K49</x:f>
        <x:v>1627160</x:v>
      </x:c>
    </x:row>
    <x:row r="50">
      <x:c r="A50" t="n">
        <x:v>49</x:v>
      </x:c>
      <x:c r="B50" s="20" t="n">
        <x:f>MIN(A50*Premissas!$C$7,Premissas!$C$37)</x:f>
        <x:v>1500</x:v>
      </x:c>
      <x:c r="C50" s="20" t="n">
        <x:f>IF(A50=1,B50,MAX(0,B50-B49))</x:f>
        <x:v>0</x:v>
      </x:c>
      <x:c r="D50" s="22" t="n">
        <x:f>B50*Premissas!$C$3</x:f>
        <x:v>178500</x:v>
      </x:c>
      <x:c r="E50" s="22" t="n">
        <x:f>D50-F50-G50</x:f>
        <x:v>162435</x:v>
      </x:c>
      <x:c r="F50" s="22" t="n">
        <x:f>D50*Premissas!$C$8</x:f>
        <x:v>10710</x:v>
      </x:c>
      <x:c r="G50" s="22" t="n">
        <x:f>D50*Premissas!$C$9</x:f>
        <x:v>5355</x:v>
      </x:c>
      <x:c r="H50" s="22" t="n">
        <x:f>Premissas!$C$31</x:f>
        <x:v>52000</x:v>
      </x:c>
      <x:c r="I50" s="22" t="n">
        <x:f>C50*Premissas!$C$16</x:f>
        <x:v>0</x:v>
      </x:c>
      <x:c r="J50" s="22" t="n">
        <x:f>E50-H50</x:f>
        <x:v>110435</x:v>
      </x:c>
      <x:c r="K50" s="22" t="n">
        <x:f>J50-I50</x:f>
        <x:v>110435</x:v>
      </x:c>
      <x:c r="L50" s="22" t="n">
        <x:f>L49+K50</x:f>
        <x:v>1737595</x:v>
      </x:c>
    </x:row>
    <x:row r="51">
      <x:c r="A51" t="n">
        <x:v>50</x:v>
      </x:c>
      <x:c r="B51" s="20" t="n">
        <x:f>MIN(A51*Premissas!$C$7,Premissas!$C$37)</x:f>
        <x:v>1500</x:v>
      </x:c>
      <x:c r="C51" s="20" t="n">
        <x:f>IF(A51=1,B51,MAX(0,B51-B50))</x:f>
        <x:v>0</x:v>
      </x:c>
      <x:c r="D51" s="22" t="n">
        <x:f>B51*Premissas!$C$3</x:f>
        <x:v>178500</x:v>
      </x:c>
      <x:c r="E51" s="22" t="n">
        <x:f>D51-F51-G51</x:f>
        <x:v>162435</x:v>
      </x:c>
      <x:c r="F51" s="22" t="n">
        <x:f>D51*Premissas!$C$8</x:f>
        <x:v>10710</x:v>
      </x:c>
      <x:c r="G51" s="22" t="n">
        <x:f>D51*Premissas!$C$9</x:f>
        <x:v>5355</x:v>
      </x:c>
      <x:c r="H51" s="22" t="n">
        <x:f>Premissas!$C$31</x:f>
        <x:v>52000</x:v>
      </x:c>
      <x:c r="I51" s="22" t="n">
        <x:f>C51*Premissas!$C$16</x:f>
        <x:v>0</x:v>
      </x:c>
      <x:c r="J51" s="22" t="n">
        <x:f>E51-H51</x:f>
        <x:v>110435</x:v>
      </x:c>
      <x:c r="K51" s="22" t="n">
        <x:f>J51-I51</x:f>
        <x:v>110435</x:v>
      </x:c>
      <x:c r="L51" s="22" t="n">
        <x:f>L50+K51</x:f>
        <x:v>1848030</x:v>
      </x:c>
    </x:row>
    <x:row r="52">
      <x:c r="A52" t="n">
        <x:v>51</x:v>
      </x:c>
      <x:c r="B52" s="20" t="n">
        <x:f>MIN(A52*Premissas!$C$7,Premissas!$C$37)</x:f>
        <x:v>1500</x:v>
      </x:c>
      <x:c r="C52" s="20" t="n">
        <x:f>IF(A52=1,B52,MAX(0,B52-B51))</x:f>
        <x:v>0</x:v>
      </x:c>
      <x:c r="D52" s="22" t="n">
        <x:f>B52*Premissas!$C$3</x:f>
        <x:v>178500</x:v>
      </x:c>
      <x:c r="E52" s="22" t="n">
        <x:f>D52-F52-G52</x:f>
        <x:v>162435</x:v>
      </x:c>
      <x:c r="F52" s="22" t="n">
        <x:f>D52*Premissas!$C$8</x:f>
        <x:v>10710</x:v>
      </x:c>
      <x:c r="G52" s="22" t="n">
        <x:f>D52*Premissas!$C$9</x:f>
        <x:v>5355</x:v>
      </x:c>
      <x:c r="H52" s="22" t="n">
        <x:f>Premissas!$C$31</x:f>
        <x:v>52000</x:v>
      </x:c>
      <x:c r="I52" s="22" t="n">
        <x:f>C52*Premissas!$C$16</x:f>
        <x:v>0</x:v>
      </x:c>
      <x:c r="J52" s="22" t="n">
        <x:f>E52-H52</x:f>
        <x:v>110435</x:v>
      </x:c>
      <x:c r="K52" s="22" t="n">
        <x:f>J52-I52</x:f>
        <x:v>110435</x:v>
      </x:c>
      <x:c r="L52" s="22" t="n">
        <x:f>L51+K52</x:f>
        <x:v>1958465</x:v>
      </x:c>
    </x:row>
    <x:row r="53">
      <x:c r="A53" t="n">
        <x:v>52</x:v>
      </x:c>
      <x:c r="B53" s="20" t="n">
        <x:f>MIN(A53*Premissas!$C$7,Premissas!$C$37)</x:f>
        <x:v>1500</x:v>
      </x:c>
      <x:c r="C53" s="20" t="n">
        <x:f>IF(A53=1,B53,MAX(0,B53-B52))</x:f>
        <x:v>0</x:v>
      </x:c>
      <x:c r="D53" s="22" t="n">
        <x:f>B53*Premissas!$C$3</x:f>
        <x:v>178500</x:v>
      </x:c>
      <x:c r="E53" s="22" t="n">
        <x:f>D53-F53-G53</x:f>
        <x:v>162435</x:v>
      </x:c>
      <x:c r="F53" s="22" t="n">
        <x:f>D53*Premissas!$C$8</x:f>
        <x:v>10710</x:v>
      </x:c>
      <x:c r="G53" s="22" t="n">
        <x:f>D53*Premissas!$C$9</x:f>
        <x:v>5355</x:v>
      </x:c>
      <x:c r="H53" s="22" t="n">
        <x:f>Premissas!$C$31</x:f>
        <x:v>52000</x:v>
      </x:c>
      <x:c r="I53" s="22" t="n">
        <x:f>C53*Premissas!$C$16</x:f>
        <x:v>0</x:v>
      </x:c>
      <x:c r="J53" s="22" t="n">
        <x:f>E53-H53</x:f>
        <x:v>110435</x:v>
      </x:c>
      <x:c r="K53" s="22" t="n">
        <x:f>J53-I53</x:f>
        <x:v>110435</x:v>
      </x:c>
      <x:c r="L53" s="22" t="n">
        <x:f>L52+K53</x:f>
        <x:v>2068900</x:v>
      </x:c>
    </x:row>
    <x:row r="54">
      <x:c r="A54" t="n">
        <x:v>53</x:v>
      </x:c>
      <x:c r="B54" s="20" t="n">
        <x:f>MIN(A54*Premissas!$C$7,Premissas!$C$37)</x:f>
        <x:v>1500</x:v>
      </x:c>
      <x:c r="C54" s="20" t="n">
        <x:f>IF(A54=1,B54,MAX(0,B54-B53))</x:f>
        <x:v>0</x:v>
      </x:c>
      <x:c r="D54" s="22" t="n">
        <x:f>B54*Premissas!$C$3</x:f>
        <x:v>178500</x:v>
      </x:c>
      <x:c r="E54" s="22" t="n">
        <x:f>D54-F54-G54</x:f>
        <x:v>162435</x:v>
      </x:c>
      <x:c r="F54" s="22" t="n">
        <x:f>D54*Premissas!$C$8</x:f>
        <x:v>10710</x:v>
      </x:c>
      <x:c r="G54" s="22" t="n">
        <x:f>D54*Premissas!$C$9</x:f>
        <x:v>5355</x:v>
      </x:c>
      <x:c r="H54" s="22" t="n">
        <x:f>Premissas!$C$31</x:f>
        <x:v>52000</x:v>
      </x:c>
      <x:c r="I54" s="22" t="n">
        <x:f>C54*Premissas!$C$16</x:f>
        <x:v>0</x:v>
      </x:c>
      <x:c r="J54" s="22" t="n">
        <x:f>E54-H54</x:f>
        <x:v>110435</x:v>
      </x:c>
      <x:c r="K54" s="22" t="n">
        <x:f>J54-I54</x:f>
        <x:v>110435</x:v>
      </x:c>
      <x:c r="L54" s="22" t="n">
        <x:f>L53+K54</x:f>
        <x:v>2179335</x:v>
      </x:c>
    </x:row>
    <x:row r="55">
      <x:c r="A55" t="n">
        <x:v>54</x:v>
      </x:c>
      <x:c r="B55" s="20" t="n">
        <x:f>MIN(A55*Premissas!$C$7,Premissas!$C$37)</x:f>
        <x:v>1500</x:v>
      </x:c>
      <x:c r="C55" s="20" t="n">
        <x:f>IF(A55=1,B55,MAX(0,B55-B54))</x:f>
        <x:v>0</x:v>
      </x:c>
      <x:c r="D55" s="22" t="n">
        <x:f>B55*Premissas!$C$3</x:f>
        <x:v>178500</x:v>
      </x:c>
      <x:c r="E55" s="22" t="n">
        <x:f>D55-F55-G55</x:f>
        <x:v>162435</x:v>
      </x:c>
      <x:c r="F55" s="22" t="n">
        <x:f>D55*Premissas!$C$8</x:f>
        <x:v>10710</x:v>
      </x:c>
      <x:c r="G55" s="22" t="n">
        <x:f>D55*Premissas!$C$9</x:f>
        <x:v>5355</x:v>
      </x:c>
      <x:c r="H55" s="22" t="n">
        <x:f>Premissas!$C$31</x:f>
        <x:v>52000</x:v>
      </x:c>
      <x:c r="I55" s="22" t="n">
        <x:f>C55*Premissas!$C$16</x:f>
        <x:v>0</x:v>
      </x:c>
      <x:c r="J55" s="22" t="n">
        <x:f>E55-H55</x:f>
        <x:v>110435</x:v>
      </x:c>
      <x:c r="K55" s="22" t="n">
        <x:f>J55-I55</x:f>
        <x:v>110435</x:v>
      </x:c>
      <x:c r="L55" s="22" t="n">
        <x:f>L54+K55</x:f>
        <x:v>2289770</x:v>
      </x:c>
    </x:row>
    <x:row r="56">
      <x:c r="A56" t="n">
        <x:v>55</x:v>
      </x:c>
      <x:c r="B56" s="20" t="n">
        <x:f>MIN(A56*Premissas!$C$7,Premissas!$C$37)</x:f>
        <x:v>1500</x:v>
      </x:c>
      <x:c r="C56" s="20" t="n">
        <x:f>IF(A56=1,B56,MAX(0,B56-B55))</x:f>
        <x:v>0</x:v>
      </x:c>
      <x:c r="D56" s="22" t="n">
        <x:f>B56*Premissas!$C$3</x:f>
        <x:v>178500</x:v>
      </x:c>
      <x:c r="E56" s="22" t="n">
        <x:f>D56-F56-G56</x:f>
        <x:v>162435</x:v>
      </x:c>
      <x:c r="F56" s="22" t="n">
        <x:f>D56*Premissas!$C$8</x:f>
        <x:v>10710</x:v>
      </x:c>
      <x:c r="G56" s="22" t="n">
        <x:f>D56*Premissas!$C$9</x:f>
        <x:v>5355</x:v>
      </x:c>
      <x:c r="H56" s="22" t="n">
        <x:f>Premissas!$C$31</x:f>
        <x:v>52000</x:v>
      </x:c>
      <x:c r="I56" s="22" t="n">
        <x:f>C56*Premissas!$C$16</x:f>
        <x:v>0</x:v>
      </x:c>
      <x:c r="J56" s="22" t="n">
        <x:f>E56-H56</x:f>
        <x:v>110435</x:v>
      </x:c>
      <x:c r="K56" s="22" t="n">
        <x:f>J56-I56</x:f>
        <x:v>110435</x:v>
      </x:c>
      <x:c r="L56" s="22" t="n">
        <x:f>L55+K56</x:f>
        <x:v>2400205</x:v>
      </x:c>
    </x:row>
    <x:row r="57">
      <x:c r="A57" t="n">
        <x:v>56</x:v>
      </x:c>
      <x:c r="B57" s="20" t="n">
        <x:f>MIN(A57*Premissas!$C$7,Premissas!$C$37)</x:f>
        <x:v>1500</x:v>
      </x:c>
      <x:c r="C57" s="20" t="n">
        <x:f>IF(A57=1,B57,MAX(0,B57-B56))</x:f>
        <x:v>0</x:v>
      </x:c>
      <x:c r="D57" s="22" t="n">
        <x:f>B57*Premissas!$C$3</x:f>
        <x:v>178500</x:v>
      </x:c>
      <x:c r="E57" s="22" t="n">
        <x:f>D57-F57-G57</x:f>
        <x:v>162435</x:v>
      </x:c>
      <x:c r="F57" s="22" t="n">
        <x:f>D57*Premissas!$C$8</x:f>
        <x:v>10710</x:v>
      </x:c>
      <x:c r="G57" s="22" t="n">
        <x:f>D57*Premissas!$C$9</x:f>
        <x:v>5355</x:v>
      </x:c>
      <x:c r="H57" s="22" t="n">
        <x:f>Premissas!$C$31</x:f>
        <x:v>52000</x:v>
      </x:c>
      <x:c r="I57" s="22" t="n">
        <x:f>C57*Premissas!$C$16</x:f>
        <x:v>0</x:v>
      </x:c>
      <x:c r="J57" s="22" t="n">
        <x:f>E57-H57</x:f>
        <x:v>110435</x:v>
      </x:c>
      <x:c r="K57" s="22" t="n">
        <x:f>J57-I57</x:f>
        <x:v>110435</x:v>
      </x:c>
      <x:c r="L57" s="22" t="n">
        <x:f>L56+K57</x:f>
        <x:v>2510640</x:v>
      </x:c>
    </x:row>
    <x:row r="58">
      <x:c r="A58" t="n">
        <x:v>57</x:v>
      </x:c>
      <x:c r="B58" s="20" t="n">
        <x:f>MIN(A58*Premissas!$C$7,Premissas!$C$37)</x:f>
        <x:v>1500</x:v>
      </x:c>
      <x:c r="C58" s="20" t="n">
        <x:f>IF(A58=1,B58,MAX(0,B58-B57))</x:f>
        <x:v>0</x:v>
      </x:c>
      <x:c r="D58" s="22" t="n">
        <x:f>B58*Premissas!$C$3</x:f>
        <x:v>178500</x:v>
      </x:c>
      <x:c r="E58" s="22" t="n">
        <x:f>D58-F58-G58</x:f>
        <x:v>162435</x:v>
      </x:c>
      <x:c r="F58" s="22" t="n">
        <x:f>D58*Premissas!$C$8</x:f>
        <x:v>10710</x:v>
      </x:c>
      <x:c r="G58" s="22" t="n">
        <x:f>D58*Premissas!$C$9</x:f>
        <x:v>5355</x:v>
      </x:c>
      <x:c r="H58" s="22" t="n">
        <x:f>Premissas!$C$31</x:f>
        <x:v>52000</x:v>
      </x:c>
      <x:c r="I58" s="22" t="n">
        <x:f>C58*Premissas!$C$16</x:f>
        <x:v>0</x:v>
      </x:c>
      <x:c r="J58" s="22" t="n">
        <x:f>E58-H58</x:f>
        <x:v>110435</x:v>
      </x:c>
      <x:c r="K58" s="22" t="n">
        <x:f>J58-I58</x:f>
        <x:v>110435</x:v>
      </x:c>
      <x:c r="L58" s="22" t="n">
        <x:f>L57+K58</x:f>
        <x:v>2621075</x:v>
      </x:c>
    </x:row>
    <x:row r="59">
      <x:c r="A59" t="n">
        <x:v>58</x:v>
      </x:c>
      <x:c r="B59" s="20" t="n">
        <x:f>MIN(A59*Premissas!$C$7,Premissas!$C$37)</x:f>
        <x:v>1500</x:v>
      </x:c>
      <x:c r="C59" s="20" t="n">
        <x:f>IF(A59=1,B59,MAX(0,B59-B58))</x:f>
        <x:v>0</x:v>
      </x:c>
      <x:c r="D59" s="22" t="n">
        <x:f>B59*Premissas!$C$3</x:f>
        <x:v>178500</x:v>
      </x:c>
      <x:c r="E59" s="22" t="n">
        <x:f>D59-F59-G59</x:f>
        <x:v>162435</x:v>
      </x:c>
      <x:c r="F59" s="22" t="n">
        <x:f>D59*Premissas!$C$8</x:f>
        <x:v>10710</x:v>
      </x:c>
      <x:c r="G59" s="22" t="n">
        <x:f>D59*Premissas!$C$9</x:f>
        <x:v>5355</x:v>
      </x:c>
      <x:c r="H59" s="22" t="n">
        <x:f>Premissas!$C$31</x:f>
        <x:v>52000</x:v>
      </x:c>
      <x:c r="I59" s="22" t="n">
        <x:f>C59*Premissas!$C$16</x:f>
        <x:v>0</x:v>
      </x:c>
      <x:c r="J59" s="22" t="n">
        <x:f>E59-H59</x:f>
        <x:v>110435</x:v>
      </x:c>
      <x:c r="K59" s="22" t="n">
        <x:f>J59-I59</x:f>
        <x:v>110435</x:v>
      </x:c>
      <x:c r="L59" s="22" t="n">
        <x:f>L58+K59</x:f>
        <x:v>2731510</x:v>
      </x:c>
    </x:row>
    <x:row r="60">
      <x:c r="A60" t="n">
        <x:v>59</x:v>
      </x:c>
      <x:c r="B60" s="20" t="n">
        <x:f>MIN(A60*Premissas!$C$7,Premissas!$C$37)</x:f>
        <x:v>1500</x:v>
      </x:c>
      <x:c r="C60" s="20" t="n">
        <x:f>IF(A60=1,B60,MAX(0,B60-B59))</x:f>
        <x:v>0</x:v>
      </x:c>
      <x:c r="D60" s="22" t="n">
        <x:f>B60*Premissas!$C$3</x:f>
        <x:v>178500</x:v>
      </x:c>
      <x:c r="E60" s="22" t="n">
        <x:f>D60-F60-G60</x:f>
        <x:v>162435</x:v>
      </x:c>
      <x:c r="F60" s="22" t="n">
        <x:f>D60*Premissas!$C$8</x:f>
        <x:v>10710</x:v>
      </x:c>
      <x:c r="G60" s="22" t="n">
        <x:f>D60*Premissas!$C$9</x:f>
        <x:v>5355</x:v>
      </x:c>
      <x:c r="H60" s="22" t="n">
        <x:f>Premissas!$C$31</x:f>
        <x:v>52000</x:v>
      </x:c>
      <x:c r="I60" s="22" t="n">
        <x:f>C60*Premissas!$C$16</x:f>
        <x:v>0</x:v>
      </x:c>
      <x:c r="J60" s="22" t="n">
        <x:f>E60-H60</x:f>
        <x:v>110435</x:v>
      </x:c>
      <x:c r="K60" s="22" t="n">
        <x:f>J60-I60</x:f>
        <x:v>110435</x:v>
      </x:c>
      <x:c r="L60" s="22" t="n">
        <x:f>L59+K60</x:f>
        <x:v>2841945</x:v>
      </x:c>
    </x:row>
    <x:row r="61">
      <x:c r="A61" t="n">
        <x:v>60</x:v>
      </x:c>
      <x:c r="B61" s="20" t="n">
        <x:f>MIN(A61*Premissas!$C$7,Premissas!$C$37)</x:f>
        <x:v>1500</x:v>
      </x:c>
      <x:c r="C61" s="20" t="n">
        <x:f>IF(A61=1,B61,MAX(0,B61-B60))</x:f>
        <x:v>0</x:v>
      </x:c>
      <x:c r="D61" s="22" t="n">
        <x:f>B61*Premissas!$C$3</x:f>
        <x:v>178500</x:v>
      </x:c>
      <x:c r="E61" s="22" t="n">
        <x:f>D61-F61-G61</x:f>
        <x:v>162435</x:v>
      </x:c>
      <x:c r="F61" s="22" t="n">
        <x:f>D61*Premissas!$C$8</x:f>
        <x:v>10710</x:v>
      </x:c>
      <x:c r="G61" s="22" t="n">
        <x:f>D61*Premissas!$C$9</x:f>
        <x:v>5355</x:v>
      </x:c>
      <x:c r="H61" s="22" t="n">
        <x:f>Premissas!$C$31</x:f>
        <x:v>52000</x:v>
      </x:c>
      <x:c r="I61" s="22" t="n">
        <x:f>C61*Premissas!$C$16</x:f>
        <x:v>0</x:v>
      </x:c>
      <x:c r="J61" s="22" t="n">
        <x:f>E61-H61</x:f>
        <x:v>110435</x:v>
      </x:c>
      <x:c r="K61" s="22" t="n">
        <x:f>J61-I61</x:f>
        <x:v>110435</x:v>
      </x:c>
      <x:c r="L61" s="22" t="n">
        <x:f>L60+K61</x:f>
        <x:v>2952380</x:v>
      </x:c>
    </x:row>
  </x:sheetData>
  <x:mergeCells>
    <x:mergeCell ref="A1:D1"/>
  </x:mergeCells>
  <x:conditionalFormatting sqref="L2:L61">
    <x:cfRule type="expression" dxfId="0" priority="1">
      <x:formula>L2&gt;=0</x:formula>
    </x:cfRule>
    <x:cfRule type="expression" dxfId="1" priority="2">
      <x:formula>L2&lt;0</x:formula>
    </x:cfRule>
  </x:conditionalFormatting>
  <x:pageMargins left="0.7" right="0.7" top="0.75" bottom="0.75" header="0.3" footer="0.3"/>
  <x:drawing xmlns:r="http://schemas.openxmlformats.org/officeDocument/2006/relationships" r:id="Rf06b735dc6f442de"/>
  <x:tableParts count="1">
    <x:tablePart xmlns:r="http://schemas.openxmlformats.org/officeDocument/2006/relationships" r:id="Rdb65638b134b4c9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38" hidden="0" customWidth="1"/>
  </x:cols>
  <x:sheetData>
    <x:row r="1">
      <x:c r="A1" s="6" t="str">
        <x:v>Resumo Executivo do Payback</x:v>
      </x:c>
      <x:c r="B1" s="6" t="str"/>
      <x:c r="C1" s="6" t="str"/>
      <x:c r="D1" s="6" t="str"/>
    </x:row>
    <x:row r="2">
      <x:c r="A2" s="10" t="str">
        <x:v>Indicador</x:v>
      </x:c>
      <x:c r="B2" s="10" t="str">
        <x:v>Valor</x:v>
      </x:c>
      <x:c r="C2" s="10" t="str">
        <x:v>Unidade</x:v>
      </x:c>
      <x:c r="D2" s="10" t="str">
        <x:v>Comentário</x:v>
      </x:c>
    </x:row>
    <x:row r="3">
      <x:c r="A3" t="str">
        <x:v>Ticket médio</x:v>
      </x:c>
      <x:c r="B3" s="14" t="n">
        <x:f>Premissas!C3</x:f>
        <x:v>119</x:v>
      </x:c>
      <x:c r="C3" t="str">
        <x:v>R$/mês</x:v>
      </x:c>
      <x:c r="D3" t="str">
        <x:v>Receita mensal por cliente</x:v>
      </x:c>
    </x:row>
    <x:row r="4">
      <x:c r="A4" t="str">
        <x:v>Novos clientes/mês</x:v>
      </x:c>
      <x:c r="B4" s="18" t="n">
        <x:f>Premissas!C7</x:f>
        <x:v>60</x:v>
      </x:c>
      <x:c r="C4" t="str">
        <x:v>clientes</x:v>
      </x:c>
      <x:c r="D4" t="str">
        <x:v>2 instaladores x 30 instalações/mês</x:v>
      </x:c>
    </x:row>
    <x:row r="5">
      <x:c r="A5" t="str">
        <x:v>Custo fixo mensal</x:v>
      </x:c>
      <x:c r="B5" s="14" t="n">
        <x:f>Premissas!C31</x:f>
        <x:v>52000</x:v>
      </x:c>
      <x:c r="C5" t="str">
        <x:v>R$/mês</x:v>
      </x:c>
      <x:c r="D5" t="str">
        <x:v>OPEX fixo</x:v>
      </x:c>
    </x:row>
    <x:row r="6">
      <x:c r="A6" t="str">
        <x:v>Custo de ativação por cliente</x:v>
      </x:c>
      <x:c r="B6" s="14" t="n">
        <x:f>Premissas!C16</x:f>
        <x:v>625</x:v>
      </x:c>
      <x:c r="C6" t="str">
        <x:v>R$/cliente</x:v>
      </x:c>
      <x:c r="D6" t="str">
        <x:v>ONT + drop + instalação</x:v>
      </x:c>
    </x:row>
    <x:row r="7">
      <x:c r="A7" t="str">
        <x:v>Investimento inicial em rede</x:v>
      </x:c>
      <x:c r="B7" s="14" t="n">
        <x:f>Premissas!C32</x:f>
        <x:v>250000</x:v>
      </x:c>
      <x:c r="C7" t="str">
        <x:v>R$</x:v>
      </x:c>
      <x:c r="D7" t="str">
        <x:v>CAPEX GPON</x:v>
      </x:c>
    </x:row>
    <x:row r="8">
      <x:c r="A8" t="str">
        <x:v>Capital de giro recomendado</x:v>
      </x:c>
      <x:c r="B8" s="14" t="n">
        <x:f>Premissas!C34</x:f>
        <x:v>312000</x:v>
      </x:c>
      <x:c r="C8" t="str">
        <x:v>R$</x:v>
      </x:c>
      <x:c r="D8" t="str">
        <x:v>6 meses de OPEX</x:v>
      </x:c>
    </x:row>
    <x:row r="9">
      <x:c r="A9" t="str">
        <x:v>Ativações primeiros 6 meses</x:v>
      </x:c>
      <x:c r="B9" s="14" t="n">
        <x:f>Premissas!C35</x:f>
        <x:v>225000</x:v>
      </x:c>
      <x:c r="C9" t="str">
        <x:v>R$</x:v>
      </x:c>
      <x:c r="D9" t="str">
        <x:v>CAPEX variável inicial</x:v>
      </x:c>
    </x:row>
    <x:row r="10">
      <x:c r="A10" s="38" t="str">
        <x:v>Capital total recomendado</x:v>
      </x:c>
      <x:c r="B10" s="39" t="n">
        <x:f>Premissas!C36</x:f>
        <x:v>787000</x:v>
      </x:c>
      <x:c r="C10" s="38" t="str">
        <x:v>R$</x:v>
      </x:c>
      <x:c r="D10" s="38" t="str">
        <x:v>Base de cálculo do payback</x:v>
      </x:c>
    </x:row>
    <x:row r="11">
      <x:c r="A11" s="38" t="str">
        <x:v>Payback estimado</x:v>
      </x:c>
      <x:c r="B11" s="40" t="n">
        <x:f>INDEX(Payback!A2:A61,MATCH(TRUE,Payback!L2:L61&gt;=0,0))</x:f>
        <x:v>34</x:v>
      </x:c>
      <x:c r="C11" s="38" t="str">
        <x:v>mês</x:v>
      </x:c>
      <x:c r="D11" s="38" t="str">
        <x:v>Primeiro mês com fluxo acumulado positivo</x:v>
      </x:c>
    </x:row>
    <x:row r="12">
      <x:c r="A12" s="38" t="str">
        <x:v>Clientes no payback</x:v>
      </x:c>
      <x:c r="B12" s="40" t="n">
        <x:f>INDEX(Payback!B2:B61,MATCH(TRUE,Payback!L2:L61&gt;=0,0))</x:f>
        <x:v>1500</x:v>
      </x:c>
      <x:c r="C12" s="38" t="str">
        <x:v>clientes</x:v>
      </x:c>
      <x:c r="D12" s="38" t="str">
        <x:v>Base de assinantes no payback</x:v>
      </x:c>
    </x:row>
    <x:row r="13">
      <x:c r="A13" s="38" t="str">
        <x:v>Receita líquida no payback</x:v>
      </x:c>
      <x:c r="B13" s="39" t="n">
        <x:f>INDEX(Payback!E2:E61,MATCH(TRUE,Payback!L2:L61&gt;=0,0))</x:f>
        <x:v>162435</x:v>
      </x:c>
      <x:c r="C13" s="38" t="str">
        <x:v>R$/mês</x:v>
      </x:c>
      <x:c r="D13" s="38" t="str">
        <x:v>Após impostos e inadimplência</x:v>
      </x:c>
    </x:row>
    <x:row r="14">
      <x:c r="A14" s="38" t="str">
        <x:v>Fluxo acumulado no payback</x:v>
      </x:c>
      <x:c r="B14" s="39" t="n">
        <x:f>INDEX(Payback!L2:L61,MATCH(TRUE,Payback!L2:L61&gt;=0,0))</x:f>
        <x:v>81069.99999999988</x:v>
      </x:c>
      <x:c r="C14" s="38" t="str">
        <x:v>R$</x:v>
      </x:c>
      <x:c r="D14" s="38" t="str">
        <x:v>Saldo acumulado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d6580c13ceff4112"/>
  </x:tableParts>
</x:worksheet>
</file>