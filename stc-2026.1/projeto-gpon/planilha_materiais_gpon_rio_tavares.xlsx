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missas" sheetId="1" state="visible" r:id="rId3"/>
    <sheet name="Dimensionamento" sheetId="2" state="visible" r:id="rId4"/>
    <sheet name="Materiais" sheetId="3" state="visible" r:id="rId5"/>
    <sheet name="Link Budget" sheetId="4" state="visible" r:id="rId6"/>
    <sheet name="Resumo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<sst xmlns="http://schemas.openxmlformats.org/spreadsheetml/2006/main" count="218" uniqueCount="145">
  <si>
    <t xml:space="preserve">Projeto GPON Rio Tavares — Premissas</t>
  </si>
  <si>
    <t xml:space="preserve">Premissa</t>
  </si>
  <si>
    <t xml:space="preserve">Valor</t>
  </si>
  <si>
    <t xml:space="preserve">Unidade</t>
  </si>
  <si>
    <t xml:space="preserve">Observação</t>
  </si>
  <si>
    <t xml:space="preserve">Residências potenciais</t>
  </si>
  <si>
    <t xml:space="preserve">residências</t>
  </si>
  <si>
    <t xml:space="preserve">Premissa do cenário</t>
  </si>
  <si>
    <t xml:space="preserve">Taxa de adesão prevista</t>
  </si>
  <si>
    <t xml:space="preserve">%</t>
  </si>
  <si>
    <t xml:space="preserve">60% dos usuários potenciais</t>
  </si>
  <si>
    <t xml:space="preserve">Clientes iniciais previstos</t>
  </si>
  <si>
    <t xml:space="preserve">clientes</t>
  </si>
  <si>
    <t xml:space="preserve">Meta mínima de atendimento</t>
  </si>
  <si>
    <t xml:space="preserve">Orçamento máximo</t>
  </si>
  <si>
    <t xml:space="preserve">R$</t>
  </si>
  <si>
    <t xml:space="preserve">Limite do projeto</t>
  </si>
  <si>
    <t xml:space="preserve">Portas GPON OLT</t>
  </si>
  <si>
    <t xml:space="preserve">portas</t>
  </si>
  <si>
    <t xml:space="preserve">OLT única no POP Principal</t>
  </si>
  <si>
    <t xml:space="preserve">Split total adotado</t>
  </si>
  <si>
    <t xml:space="preserve">clientes/porta</t>
  </si>
  <si>
    <t xml:space="preserve">Arquitetura 1:4 x 1:16</t>
  </si>
  <si>
    <t xml:space="preserve">Portas por CTO</t>
  </si>
  <si>
    <t xml:space="preserve">CTO 16 portas</t>
  </si>
  <si>
    <t xml:space="preserve">Margem técnica de cabos</t>
  </si>
  <si>
    <t xml:space="preserve">Reserva para folgas/rotas</t>
  </si>
  <si>
    <t xml:space="preserve">Comprimento P1-SD1</t>
  </si>
  <si>
    <t xml:space="preserve">m</t>
  </si>
  <si>
    <t xml:space="preserve">Medido no Google Earth</t>
  </si>
  <si>
    <t xml:space="preserve">Comprimento P1-SD2</t>
  </si>
  <si>
    <t xml:space="preserve">Comprimento SD2-SD3</t>
  </si>
  <si>
    <t xml:space="preserve">Dimensionamento por Área de Cobertura</t>
  </si>
  <si>
    <t xml:space="preserve">Área</t>
  </si>
  <si>
    <t xml:space="preserve">Localidade</t>
  </si>
  <si>
    <t xml:space="preserve">% da base</t>
  </si>
  <si>
    <t xml:space="preserve">Clientes previstos</t>
  </si>
  <si>
    <t xml:space="preserve">Portas GPON</t>
  </si>
  <si>
    <t xml:space="preserve">CTOs 16p</t>
  </si>
  <si>
    <t xml:space="preserve">Split primário 1:4</t>
  </si>
  <si>
    <t xml:space="preserve">SD1</t>
  </si>
  <si>
    <t xml:space="preserve">Pico da Cruz</t>
  </si>
  <si>
    <t xml:space="preserve">Área menor, baixa/média densidade</t>
  </si>
  <si>
    <t xml:space="preserve">SD2</t>
  </si>
  <si>
    <t xml:space="preserve">Novo Campeche</t>
  </si>
  <si>
    <t xml:space="preserve">Área intermediária</t>
  </si>
  <si>
    <t xml:space="preserve">SD3</t>
  </si>
  <si>
    <t xml:space="preserve">Campeche</t>
  </si>
  <si>
    <t xml:space="preserve">Maior área e maior concentração</t>
  </si>
  <si>
    <t xml:space="preserve">TOTAL</t>
  </si>
  <si>
    <t xml:space="preserve">Planilha de Materiais e Custos — Infraestrutura Inicial</t>
  </si>
  <si>
    <t xml:space="preserve">Categoria</t>
  </si>
  <si>
    <t xml:space="preserve">Item</t>
  </si>
  <si>
    <t xml:space="preserve">Unid.</t>
  </si>
  <si>
    <t xml:space="preserve">Qtd.</t>
  </si>
  <si>
    <t xml:space="preserve">Valor unit. (R$)</t>
  </si>
  <si>
    <t xml:space="preserve">Subtotal (R$)</t>
  </si>
  <si>
    <t xml:space="preserve">Critério de cálculo</t>
  </si>
  <si>
    <t xml:space="preserve">Incluir?</t>
  </si>
  <si>
    <t xml:space="preserve">POP</t>
  </si>
  <si>
    <t xml:space="preserve">OLT Huawei MA5800 equipada 32 portas GPON</t>
  </si>
  <si>
    <t xml:space="preserve">un</t>
  </si>
  <si>
    <t xml:space="preserve">1 OLT central no POP</t>
  </si>
  <si>
    <t xml:space="preserve">Sim</t>
  </si>
  <si>
    <t xml:space="preserve">Valor estimado para projeto acadêmico</t>
  </si>
  <si>
    <t xml:space="preserve">DIO principal 144 fibras</t>
  </si>
  <si>
    <t xml:space="preserve">DIO no POP Principal</t>
  </si>
  <si>
    <t xml:space="preserve">Rack 44U + nobreak/sistema de energia</t>
  </si>
  <si>
    <t xml:space="preserve">Infraestrutura de central</t>
  </si>
  <si>
    <t xml:space="preserve">Módulo/SFP GPON</t>
  </si>
  <si>
    <t xml:space="preserve">1 por porta GPON da OLT</t>
  </si>
  <si>
    <t xml:space="preserve">Feeder</t>
  </si>
  <si>
    <t xml:space="preserve">Cabo óptico 24F P1-SD1</t>
  </si>
  <si>
    <t xml:space="preserve">Distância Google Earth + 15%</t>
  </si>
  <si>
    <t xml:space="preserve">Cabo óptico 48F P1-SD2</t>
  </si>
  <si>
    <t xml:space="preserve">Cabo óptico 72F SD2-SD3</t>
  </si>
  <si>
    <t xml:space="preserve">Distribuição</t>
  </si>
  <si>
    <t xml:space="preserve">Cabo óptico 12F distribuição</t>
  </si>
  <si>
    <t xml:space="preserve">Estimativa por rotas internas</t>
  </si>
  <si>
    <t xml:space="preserve">Todos</t>
  </si>
  <si>
    <t xml:space="preserve">Ajustável após detalhar ruas</t>
  </si>
  <si>
    <t xml:space="preserve">Splitter</t>
  </si>
  <si>
    <t xml:space="preserve">Splitter primário 1:4</t>
  </si>
  <si>
    <t xml:space="preserve">1 por porta GPON ativa</t>
  </si>
  <si>
    <t xml:space="preserve">Final 1:64 com CTO 1:16</t>
  </si>
  <si>
    <t xml:space="preserve">Splitter secundário 1:16 em CTO</t>
  </si>
  <si>
    <t xml:space="preserve">1 por CTO</t>
  </si>
  <si>
    <t xml:space="preserve">CTO</t>
  </si>
  <si>
    <t xml:space="preserve">CTOs dimensionadas</t>
  </si>
  <si>
    <t xml:space="preserve">Caixas</t>
  </si>
  <si>
    <t xml:space="preserve">Caixa de emenda óptica</t>
  </si>
  <si>
    <t xml:space="preserve">Pontos de derivação/rota</t>
  </si>
  <si>
    <t xml:space="preserve">SD</t>
  </si>
  <si>
    <t xml:space="preserve">DIO/caixa de distribuição primária SD</t>
  </si>
  <si>
    <t xml:space="preserve">SD1, SD2 e SD3</t>
  </si>
  <si>
    <t xml:space="preserve">Serviço</t>
  </si>
  <si>
    <t xml:space="preserve">Fusões ópticas</t>
  </si>
  <si>
    <t xml:space="preserve">Estimativa geral da planta</t>
  </si>
  <si>
    <t xml:space="preserve">Acessórios</t>
  </si>
  <si>
    <t xml:space="preserve">Cordões, conectores e organizadores</t>
  </si>
  <si>
    <t xml:space="preserve">lote</t>
  </si>
  <si>
    <t xml:space="preserve">Lote técnico</t>
  </si>
  <si>
    <t xml:space="preserve">Infra</t>
  </si>
  <si>
    <t xml:space="preserve">Ferragens, abraçadeiras e fixação</t>
  </si>
  <si>
    <t xml:space="preserve">1 conjunto por CTO</t>
  </si>
  <si>
    <t xml:space="preserve">Mão de obra implantação rede feeder/distribuição</t>
  </si>
  <si>
    <t xml:space="preserve">Lançamento, conectorização e testes</t>
  </si>
  <si>
    <t xml:space="preserve">Estimativa macro</t>
  </si>
  <si>
    <t xml:space="preserve">Resumo</t>
  </si>
  <si>
    <t xml:space="preserve">Total estimado</t>
  </si>
  <si>
    <t xml:space="preserve">Saldo</t>
  </si>
  <si>
    <t xml:space="preserve">Custo por cliente</t>
  </si>
  <si>
    <t xml:space="preserve">Cálculo do Enlace Óptico — Link Budget Simplificado</t>
  </si>
  <si>
    <t xml:space="preserve">Cenário</t>
  </si>
  <si>
    <t xml:space="preserve">Fibra considerada (km)</t>
  </si>
  <si>
    <t xml:space="preserve">Perda fibra (dB)</t>
  </si>
  <si>
    <t xml:space="preserve">Splitter 1:4 (dB)</t>
  </si>
  <si>
    <t xml:space="preserve">Splitter 1:16 (dB)</t>
  </si>
  <si>
    <t xml:space="preserve">Perda total com margem (dB)</t>
  </si>
  <si>
    <t xml:space="preserve">SD1 - Pico da Cruz</t>
  </si>
  <si>
    <t xml:space="preserve">SD2 - Novo Campeche</t>
  </si>
  <si>
    <t xml:space="preserve">SD3 - Campeche</t>
  </si>
  <si>
    <t xml:space="preserve">Parâmetro</t>
  </si>
  <si>
    <t xml:space="preserve">Potência TX OLT</t>
  </si>
  <si>
    <t xml:space="preserve">+3 dBm</t>
  </si>
  <si>
    <t xml:space="preserve">Sensibilidade ONU</t>
  </si>
  <si>
    <t xml:space="preserve">-27 dBm</t>
  </si>
  <si>
    <t xml:space="preserve">Orçamento óptico disponível</t>
  </si>
  <si>
    <t xml:space="preserve">30 dB</t>
  </si>
  <si>
    <t xml:space="preserve">Margem adicional considerada</t>
  </si>
  <si>
    <t xml:space="preserve">3 dB</t>
  </si>
  <si>
    <t xml:space="preserve">Conclusão</t>
  </si>
  <si>
    <t xml:space="preserve">Verificar se perda total &lt;= 30 dB</t>
  </si>
  <si>
    <t xml:space="preserve">Resumo Executivo — Projeto GPON Rio Tavares</t>
  </si>
  <si>
    <t xml:space="preserve">Indicador</t>
  </si>
  <si>
    <t xml:space="preserve">Portas GPON ativas</t>
  </si>
  <si>
    <t xml:space="preserve">Portas GPON disponíveis</t>
  </si>
  <si>
    <t xml:space="preserve">Portas reserva</t>
  </si>
  <si>
    <t xml:space="preserve">CTOs previstas</t>
  </si>
  <si>
    <t xml:space="preserve">Splitters primários 1:4</t>
  </si>
  <si>
    <t xml:space="preserve">Splitters secundários 1:16</t>
  </si>
  <si>
    <t xml:space="preserve">Custo total estimado</t>
  </si>
  <si>
    <t xml:space="preserve">Clientes</t>
  </si>
  <si>
    <t xml:space="preserve">CTOs</t>
  </si>
  <si>
    <t xml:space="preserve">% base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</si>
</sst>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0.00"/>
    <numFmt numFmtId="168" formatCode="#,##0.00"/>
    <numFmt numFmtId="169" formatCode="&quot;R$ &quot;#,##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4E4A"/>
        <bgColor rgb="FF333333"/>
      </patternFill>
    </fill>
    <fill>
      <patternFill patternType="solid">
        <fgColor rgb="FF0F766E"/>
        <bgColor rgb="FF008080"/>
      </patternFill>
    </fill>
    <fill>
      <patternFill patternType="solid">
        <fgColor rgb="FFCCFB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0F766E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4E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Dimensionamento" displayName="TabelaDimensionamento" ref="A3:H7" headerRowCount="1" totalsRowCount="0" totalsRowShown="0">
  <tableColumns count="8">
    <tableColumn id="1" name="Área"/>
    <tableColumn id="2" name="Localidade"/>
    <tableColumn id="3" name="% da base"/>
    <tableColumn id="4" name="Clientes previstos"/>
    <tableColumn id="5" name="Portas GPON"/>
    <tableColumn id="6" name="CTOs 16p"/>
    <tableColumn id="7" name="Split primário 1:4"/>
    <tableColumn id="8" name="Observação"/>
  </tableColumns>
</table>
</file>

<file path=xl/tables/table2.xml><?xml version="1.0" encoding="utf-8"?>
<table xmlns="http://schemas.openxmlformats.org/spreadsheetml/2006/main" id="2" name="TabelaLinkBudget" displayName="TabelaLinkBudget" ref="A3:F6" headerRowCount="1" totalsRowCount="0" totalsRowShown="0">
  <tableColumns count="6">
    <tableColumn id="1" name="Cenário"/>
    <tableColumn id="2" name="Fibra considerada (km)"/>
    <tableColumn id="3" name="Perda fibra (dB)"/>
    <tableColumn id="4" name="Splitter 1:4 (dB)"/>
    <tableColumn id="5" name="Splitter 1:16 (dB)"/>
    <tableColumn id="6" name="Perda total com margem (dB)"/>
  </tableColumns>
</table>
</file>

<file path=xl/tables/table3.xml><?xml version="1.0" encoding="utf-8"?>
<table xmlns="http://schemas.openxmlformats.org/spreadsheetml/2006/main" id="3" name="TabelaMateriais" displayName="TabelaMateriais" ref="A3:J20" headerRowCount="1" totalsRowCount="0" totalsRowShown="0">
  <tableColumns count="10">
    <tableColumn id="1" name="Categoria"/>
    <tableColumn id="2" name="Item"/>
    <tableColumn id="3" name="Unid."/>
    <tableColumn id="4" name="Qtd."/>
    <tableColumn id="5" name="Valor unit. (R$)"/>
    <tableColumn id="6" name="Subtotal (R$)"/>
    <tableColumn id="7" name="Critério de cálculo"/>
    <tableColumn id="8" name="Área"/>
    <tableColumn id="9" name="Incluir?"/>
    <tableColumn id="10" name="Observação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51"/>
    <col collapsed="false" customWidth="true" hidden="false" outlineLevel="0" max="2" min="2" style="0" width="8.8"/>
    <col collapsed="false" customWidth="true" hidden="false" outlineLevel="0" max="3" min="3" style="0" width="12.42"/>
    <col collapsed="false" customWidth="true" hidden="false" outlineLevel="0" max="4" min="4" style="0" width="25.0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0" t="s">
        <v>5</v>
      </c>
      <c r="B4" s="0" t="n">
        <v>2500</v>
      </c>
      <c r="C4" s="0" t="s">
        <v>6</v>
      </c>
      <c r="D4" s="0" t="s">
        <v>7</v>
      </c>
    </row>
    <row r="5" customFormat="false" ht="15" hidden="false" customHeight="false" outlineLevel="0" collapsed="false">
      <c r="A5" s="0" t="s">
        <v>8</v>
      </c>
      <c r="B5" s="4" t="n">
        <v>0.6</v>
      </c>
      <c r="C5" s="0" t="s">
        <v>9</v>
      </c>
      <c r="D5" s="0" t="s">
        <v>10</v>
      </c>
    </row>
    <row r="6" customFormat="false" ht="15" hidden="false" customHeight="false" outlineLevel="0" collapsed="false">
      <c r="A6" s="0" t="s">
        <v>11</v>
      </c>
      <c r="B6" s="0" t="n">
        <f aca="false">B4*B5</f>
        <v>1500</v>
      </c>
      <c r="C6" s="0" t="s">
        <v>12</v>
      </c>
      <c r="D6" s="0" t="s">
        <v>13</v>
      </c>
    </row>
    <row r="7" customFormat="false" ht="15" hidden="false" customHeight="false" outlineLevel="0" collapsed="false">
      <c r="A7" s="0" t="s">
        <v>14</v>
      </c>
      <c r="B7" s="4" t="n">
        <v>250000</v>
      </c>
      <c r="C7" s="0" t="s">
        <v>15</v>
      </c>
      <c r="D7" s="0" t="s">
        <v>16</v>
      </c>
    </row>
    <row r="8" customFormat="false" ht="15" hidden="false" customHeight="false" outlineLevel="0" collapsed="false">
      <c r="A8" s="0" t="s">
        <v>17</v>
      </c>
      <c r="B8" s="4" t="n">
        <v>32</v>
      </c>
      <c r="C8" s="0" t="s">
        <v>18</v>
      </c>
      <c r="D8" s="0" t="s">
        <v>19</v>
      </c>
    </row>
    <row r="9" customFormat="false" ht="15" hidden="false" customHeight="false" outlineLevel="0" collapsed="false">
      <c r="A9" s="0" t="s">
        <v>20</v>
      </c>
      <c r="B9" s="0" t="n">
        <v>64</v>
      </c>
      <c r="C9" s="0" t="s">
        <v>21</v>
      </c>
      <c r="D9" s="0" t="s">
        <v>22</v>
      </c>
    </row>
    <row r="10" customFormat="false" ht="15" hidden="false" customHeight="false" outlineLevel="0" collapsed="false">
      <c r="A10" s="0" t="s">
        <v>23</v>
      </c>
      <c r="B10" s="0" t="n">
        <v>16</v>
      </c>
      <c r="C10" s="0" t="s">
        <v>18</v>
      </c>
      <c r="D10" s="0" t="s">
        <v>24</v>
      </c>
    </row>
    <row r="11" customFormat="false" ht="15" hidden="false" customHeight="false" outlineLevel="0" collapsed="false">
      <c r="A11" s="0" t="s">
        <v>25</v>
      </c>
      <c r="B11" s="5" t="n">
        <v>0.15</v>
      </c>
      <c r="C11" s="0" t="s">
        <v>9</v>
      </c>
      <c r="D11" s="0" t="s">
        <v>26</v>
      </c>
    </row>
    <row r="12" customFormat="false" ht="15" hidden="false" customHeight="false" outlineLevel="0" collapsed="false">
      <c r="A12" s="0" t="s">
        <v>27</v>
      </c>
      <c r="B12" s="5" t="n">
        <v>1262.47</v>
      </c>
      <c r="C12" s="0" t="s">
        <v>28</v>
      </c>
      <c r="D12" s="0" t="s">
        <v>29</v>
      </c>
    </row>
    <row r="13" customFormat="false" ht="15" hidden="false" customHeight="false" outlineLevel="0" collapsed="false">
      <c r="A13" s="0" t="s">
        <v>30</v>
      </c>
      <c r="B13" s="5" t="n">
        <v>1451.78</v>
      </c>
      <c r="C13" s="0" t="s">
        <v>28</v>
      </c>
      <c r="D13" s="0" t="s">
        <v>29</v>
      </c>
    </row>
    <row r="14" customFormat="false" ht="15" hidden="false" customHeight="false" outlineLevel="0" collapsed="false">
      <c r="A14" s="0" t="s">
        <v>31</v>
      </c>
      <c r="B14" s="0" t="n">
        <v>2846.97</v>
      </c>
      <c r="C14" s="0" t="s">
        <v>28</v>
      </c>
      <c r="D14" s="0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3.07"/>
    <col collapsed="false" customWidth="true" hidden="false" outlineLevel="0" max="2" min="2" style="0" width="14.93"/>
    <col collapsed="false" customWidth="true" hidden="false" outlineLevel="0" max="3" min="3" style="0" width="10.06"/>
    <col collapsed="false" customWidth="true" hidden="false" outlineLevel="0" max="4" min="4" style="0" width="17.01"/>
    <col collapsed="false" customWidth="true" hidden="false" outlineLevel="0" max="5" min="5" style="0" width="10.51"/>
    <col collapsed="false" customWidth="true" hidden="false" outlineLevel="0" max="6" min="6" style="0" width="7.54"/>
    <col collapsed="false" customWidth="true" hidden="false" outlineLevel="0" max="7" min="7" style="0" width="14.13"/>
    <col collapsed="false" customWidth="true" hidden="false" outlineLevel="0" max="8" min="8" style="0" width="28.8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</v>
      </c>
    </row>
    <row r="4" customFormat="false" ht="15" hidden="false" customHeight="false" outlineLevel="0" collapsed="false">
      <c r="A4" s="0" t="s">
        <v>40</v>
      </c>
      <c r="B4" s="0" t="s">
        <v>41</v>
      </c>
      <c r="C4" s="6" t="n">
        <v>0.15</v>
      </c>
      <c r="D4" s="4" t="n">
        <f aca="false">Premissas!$B$6*C4</f>
        <v>225</v>
      </c>
      <c r="E4" s="4" t="n">
        <f aca="false">ROUNDUP(D4/Premissas!$B$9,0)</f>
        <v>4</v>
      </c>
      <c r="F4" s="4" t="n">
        <f aca="false">ROUNDUP(D4/Premissas!$B$10,0)</f>
        <v>15</v>
      </c>
      <c r="G4" s="4" t="n">
        <f aca="false">E4</f>
        <v>4</v>
      </c>
      <c r="H4" s="0" t="s">
        <v>42</v>
      </c>
    </row>
    <row r="5" customFormat="false" ht="15" hidden="false" customHeight="false" outlineLevel="0" collapsed="false">
      <c r="A5" s="0" t="s">
        <v>43</v>
      </c>
      <c r="B5" s="0" t="s">
        <v>44</v>
      </c>
      <c r="C5" s="6" t="n">
        <v>0.35</v>
      </c>
      <c r="D5" s="4" t="n">
        <f aca="false">Premissas!$B$6*C5</f>
        <v>525</v>
      </c>
      <c r="E5" s="4" t="n">
        <f aca="false">ROUNDUP(D5/Premissas!$B$9,0)</f>
        <v>9</v>
      </c>
      <c r="F5" s="4" t="n">
        <f aca="false">ROUNDUP(D5/Premissas!$B$10,0)</f>
        <v>33</v>
      </c>
      <c r="G5" s="4" t="n">
        <f aca="false">E5</f>
        <v>9</v>
      </c>
      <c r="H5" s="0" t="s">
        <v>45</v>
      </c>
    </row>
    <row r="6" customFormat="false" ht="15" hidden="false" customHeight="false" outlineLevel="0" collapsed="false">
      <c r="A6" s="0" t="s">
        <v>46</v>
      </c>
      <c r="B6" s="0" t="s">
        <v>47</v>
      </c>
      <c r="C6" s="6" t="n">
        <v>0.5</v>
      </c>
      <c r="D6" s="4" t="n">
        <f aca="false">Premissas!$B$6*C6</f>
        <v>750</v>
      </c>
      <c r="E6" s="4" t="n">
        <f aca="false">ROUNDUP(D6/Premissas!$B$9,0)</f>
        <v>12</v>
      </c>
      <c r="F6" s="4" t="n">
        <f aca="false">ROUNDUP(D6/Premissas!$B$10,0)</f>
        <v>47</v>
      </c>
      <c r="G6" s="4" t="n">
        <f aca="false">E6</f>
        <v>12</v>
      </c>
      <c r="H6" s="0" t="s">
        <v>48</v>
      </c>
    </row>
    <row r="7" customFormat="false" ht="15" hidden="false" customHeight="false" outlineLevel="0" collapsed="false">
      <c r="A7" s="7" t="s">
        <v>49</v>
      </c>
      <c r="B7" s="7"/>
      <c r="C7" s="8" t="n">
        <f aca="false">SUM(C4:C6)</f>
        <v>1</v>
      </c>
      <c r="D7" s="9" t="n">
        <f aca="false">SUM(D4:D6)</f>
        <v>1500</v>
      </c>
      <c r="E7" s="9" t="n">
        <f aca="false">SUM(E4:E6)</f>
        <v>25</v>
      </c>
      <c r="F7" s="9" t="n">
        <f aca="false">SUM(F4:F6)</f>
        <v>95</v>
      </c>
      <c r="G7" s="9" t="n">
        <f aca="false">SUM(G4:G6)</f>
        <v>25</v>
      </c>
      <c r="H7" s="7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.85"/>
    <col collapsed="false" customWidth="true" hidden="false" outlineLevel="0" max="2" min="2" style="0" width="40.38"/>
    <col collapsed="false" customWidth="true" hidden="false" outlineLevel="0" max="3" min="3" style="0" width="4.31"/>
    <col collapsed="false" customWidth="true" hidden="false" outlineLevel="0" max="4" min="4" style="0" width="7.94"/>
    <col collapsed="false" customWidth="true" hidden="false" outlineLevel="0" max="5" min="5" style="0" width="12.25"/>
    <col collapsed="false" customWidth="true" hidden="false" outlineLevel="0" max="6" min="6" style="0" width="10.63"/>
    <col collapsed="false" customWidth="true" hidden="false" outlineLevel="0" max="7" min="7" style="0" width="28"/>
    <col collapsed="false" customWidth="true" hidden="false" outlineLevel="0" max="8" min="8" style="0" width="4.58"/>
    <col collapsed="false" customWidth="true" hidden="false" outlineLevel="0" max="9" min="9" style="0" width="5.92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33</v>
      </c>
      <c r="I3" s="2" t="s">
        <v>58</v>
      </c>
      <c r="J3" s="2" t="s">
        <v>4</v>
      </c>
    </row>
    <row r="4" customFormat="false" ht="15" hidden="false" customHeight="false" outlineLevel="0" collapsed="false">
      <c r="A4" s="0" t="s">
        <v>59</v>
      </c>
      <c r="B4" s="0" t="s">
        <v>60</v>
      </c>
      <c r="C4" s="0" t="s">
        <v>61</v>
      </c>
      <c r="D4" s="10" t="n">
        <v>1</v>
      </c>
      <c r="E4" s="10" t="n">
        <v>45000</v>
      </c>
      <c r="F4" s="10" t="n">
        <f aca="false">D4*E4</f>
        <v>45000</v>
      </c>
      <c r="G4" s="0" t="s">
        <v>62</v>
      </c>
      <c r="H4" s="0" t="s">
        <v>59</v>
      </c>
      <c r="I4" s="0" t="s">
        <v>63</v>
      </c>
      <c r="J4" s="0" t="s">
        <v>64</v>
      </c>
    </row>
    <row r="5" customFormat="false" ht="15" hidden="false" customHeight="false" outlineLevel="0" collapsed="false">
      <c r="A5" s="0" t="s">
        <v>59</v>
      </c>
      <c r="B5" s="0" t="s">
        <v>65</v>
      </c>
      <c r="C5" s="0" t="s">
        <v>61</v>
      </c>
      <c r="D5" s="10" t="n">
        <v>1</v>
      </c>
      <c r="E5" s="10" t="n">
        <v>2500</v>
      </c>
      <c r="F5" s="10" t="n">
        <f aca="false">D5*E5</f>
        <v>2500</v>
      </c>
      <c r="G5" s="0" t="s">
        <v>66</v>
      </c>
      <c r="H5" s="0" t="s">
        <v>59</v>
      </c>
      <c r="I5" s="0" t="s">
        <v>63</v>
      </c>
    </row>
    <row r="6" customFormat="false" ht="15" hidden="false" customHeight="false" outlineLevel="0" collapsed="false">
      <c r="A6" s="0" t="s">
        <v>59</v>
      </c>
      <c r="B6" s="0" t="s">
        <v>67</v>
      </c>
      <c r="C6" s="0" t="s">
        <v>61</v>
      </c>
      <c r="D6" s="10" t="n">
        <v>1</v>
      </c>
      <c r="E6" s="10" t="n">
        <v>8000</v>
      </c>
      <c r="F6" s="10" t="n">
        <f aca="false">D6*E6</f>
        <v>8000</v>
      </c>
      <c r="G6" s="0" t="s">
        <v>68</v>
      </c>
      <c r="H6" s="0" t="s">
        <v>59</v>
      </c>
      <c r="I6" s="0" t="s">
        <v>63</v>
      </c>
    </row>
    <row r="7" customFormat="false" ht="15" hidden="false" customHeight="false" outlineLevel="0" collapsed="false">
      <c r="A7" s="0" t="s">
        <v>59</v>
      </c>
      <c r="B7" s="0" t="s">
        <v>69</v>
      </c>
      <c r="C7" s="0" t="s">
        <v>61</v>
      </c>
      <c r="D7" s="10" t="n">
        <v>32</v>
      </c>
      <c r="E7" s="10" t="n">
        <v>300</v>
      </c>
      <c r="F7" s="10" t="n">
        <f aca="false">D7*E7</f>
        <v>9600</v>
      </c>
      <c r="G7" s="0" t="s">
        <v>70</v>
      </c>
      <c r="H7" s="0" t="s">
        <v>59</v>
      </c>
      <c r="I7" s="0" t="s">
        <v>63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s">
        <v>28</v>
      </c>
      <c r="D8" s="10" t="n">
        <f aca="false">ROUNDUP(Premissas!B12*(1+Premissas!B11),0)</f>
        <v>1452</v>
      </c>
      <c r="E8" s="10" t="n">
        <v>3.2</v>
      </c>
      <c r="F8" s="10" t="n">
        <f aca="false">D8*E8</f>
        <v>4646.4</v>
      </c>
      <c r="G8" s="0" t="s">
        <v>73</v>
      </c>
      <c r="H8" s="0" t="s">
        <v>40</v>
      </c>
      <c r="I8" s="0" t="s">
        <v>63</v>
      </c>
    </row>
    <row r="9" customFormat="false" ht="15" hidden="false" customHeight="false" outlineLevel="0" collapsed="false">
      <c r="A9" s="0" t="s">
        <v>71</v>
      </c>
      <c r="B9" s="0" t="s">
        <v>74</v>
      </c>
      <c r="C9" s="0" t="s">
        <v>28</v>
      </c>
      <c r="D9" s="10" t="n">
        <f aca="false">ROUNDUP(Premissas!B13*(1+Premissas!B11),0)</f>
        <v>1670</v>
      </c>
      <c r="E9" s="10" t="n">
        <v>5.5</v>
      </c>
      <c r="F9" s="10" t="n">
        <f aca="false">D9*E9</f>
        <v>9185</v>
      </c>
      <c r="G9" s="0" t="s">
        <v>73</v>
      </c>
      <c r="H9" s="0" t="s">
        <v>43</v>
      </c>
      <c r="I9" s="0" t="s">
        <v>63</v>
      </c>
    </row>
    <row r="10" customFormat="false" ht="15" hidden="false" customHeight="false" outlineLevel="0" collapsed="false">
      <c r="A10" s="0" t="s">
        <v>71</v>
      </c>
      <c r="B10" s="0" t="s">
        <v>75</v>
      </c>
      <c r="C10" s="0" t="s">
        <v>28</v>
      </c>
      <c r="D10" s="10" t="n">
        <f aca="false">ROUNDUP(Premissas!B14*(1+Premissas!B11),0)</f>
        <v>3275</v>
      </c>
      <c r="E10" s="10" t="n">
        <v>8.5</v>
      </c>
      <c r="F10" s="10" t="n">
        <f aca="false">D10*E10</f>
        <v>27837.5</v>
      </c>
      <c r="G10" s="0" t="s">
        <v>73</v>
      </c>
      <c r="H10" s="0" t="s">
        <v>46</v>
      </c>
      <c r="I10" s="0" t="s">
        <v>63</v>
      </c>
    </row>
    <row r="11" customFormat="false" ht="15" hidden="false" customHeight="false" outlineLevel="0" collapsed="false">
      <c r="A11" s="0" t="s">
        <v>76</v>
      </c>
      <c r="B11" s="0" t="s">
        <v>77</v>
      </c>
      <c r="C11" s="0" t="s">
        <v>28</v>
      </c>
      <c r="D11" s="10" t="n">
        <v>15000</v>
      </c>
      <c r="E11" s="10" t="n">
        <v>2.2</v>
      </c>
      <c r="F11" s="10" t="n">
        <f aca="false">D11*E11</f>
        <v>33000</v>
      </c>
      <c r="G11" s="0" t="s">
        <v>78</v>
      </c>
      <c r="H11" s="0" t="s">
        <v>79</v>
      </c>
      <c r="I11" s="0" t="s">
        <v>63</v>
      </c>
      <c r="J11" s="0" t="s">
        <v>80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s">
        <v>61</v>
      </c>
      <c r="D12" s="10" t="n">
        <f aca="false">Dimensionamento!G7</f>
        <v>25</v>
      </c>
      <c r="E12" s="10" t="n">
        <v>80</v>
      </c>
      <c r="F12" s="10" t="n">
        <f aca="false">D12*E12</f>
        <v>2000</v>
      </c>
      <c r="G12" s="0" t="s">
        <v>83</v>
      </c>
      <c r="H12" s="0" t="s">
        <v>79</v>
      </c>
      <c r="I12" s="0" t="s">
        <v>63</v>
      </c>
      <c r="J12" s="0" t="s">
        <v>84</v>
      </c>
    </row>
    <row r="13" customFormat="false" ht="15" hidden="false" customHeight="false" outlineLevel="0" collapsed="false">
      <c r="A13" s="0" t="s">
        <v>81</v>
      </c>
      <c r="B13" s="0" t="s">
        <v>85</v>
      </c>
      <c r="C13" s="0" t="s">
        <v>61</v>
      </c>
      <c r="D13" s="10" t="n">
        <f aca="false">Dimensionamento!F7</f>
        <v>95</v>
      </c>
      <c r="E13" s="10" t="n">
        <v>120</v>
      </c>
      <c r="F13" s="10" t="n">
        <f aca="false">D13*E13</f>
        <v>11400</v>
      </c>
      <c r="G13" s="0" t="s">
        <v>86</v>
      </c>
      <c r="H13" s="0" t="s">
        <v>79</v>
      </c>
      <c r="I13" s="0" t="s">
        <v>63</v>
      </c>
    </row>
    <row r="14" customFormat="false" ht="15" hidden="false" customHeight="false" outlineLevel="0" collapsed="false">
      <c r="A14" s="0" t="s">
        <v>87</v>
      </c>
      <c r="B14" s="0" t="s">
        <v>24</v>
      </c>
      <c r="C14" s="0" t="s">
        <v>61</v>
      </c>
      <c r="D14" s="10" t="n">
        <f aca="false">Dimensionamento!F7</f>
        <v>95</v>
      </c>
      <c r="E14" s="10" t="n">
        <v>150</v>
      </c>
      <c r="F14" s="10" t="n">
        <f aca="false">D14*E14</f>
        <v>14250</v>
      </c>
      <c r="G14" s="0" t="s">
        <v>88</v>
      </c>
      <c r="H14" s="0" t="s">
        <v>79</v>
      </c>
      <c r="I14" s="0" t="s">
        <v>63</v>
      </c>
    </row>
    <row r="15" customFormat="false" ht="15" hidden="false" customHeight="false" outlineLevel="0" collapsed="false">
      <c r="A15" s="0" t="s">
        <v>89</v>
      </c>
      <c r="B15" s="0" t="s">
        <v>90</v>
      </c>
      <c r="C15" s="0" t="s">
        <v>61</v>
      </c>
      <c r="D15" s="10" t="n">
        <v>12</v>
      </c>
      <c r="E15" s="10" t="n">
        <v>400</v>
      </c>
      <c r="F15" s="10" t="n">
        <f aca="false">D15*E15</f>
        <v>4800</v>
      </c>
      <c r="G15" s="0" t="s">
        <v>91</v>
      </c>
      <c r="H15" s="0" t="s">
        <v>79</v>
      </c>
      <c r="I15" s="0" t="s">
        <v>63</v>
      </c>
    </row>
    <row r="16" customFormat="false" ht="15" hidden="false" customHeight="false" outlineLevel="0" collapsed="false">
      <c r="A16" s="0" t="s">
        <v>92</v>
      </c>
      <c r="B16" s="0" t="s">
        <v>93</v>
      </c>
      <c r="C16" s="0" t="s">
        <v>61</v>
      </c>
      <c r="D16" s="10" t="n">
        <v>3</v>
      </c>
      <c r="E16" s="10" t="n">
        <v>800</v>
      </c>
      <c r="F16" s="10" t="n">
        <f aca="false">D16*E16</f>
        <v>2400</v>
      </c>
      <c r="G16" s="0" t="s">
        <v>94</v>
      </c>
      <c r="H16" s="0" t="s">
        <v>79</v>
      </c>
      <c r="I16" s="0" t="s">
        <v>63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s">
        <v>61</v>
      </c>
      <c r="D17" s="10" t="n">
        <v>600</v>
      </c>
      <c r="E17" s="10" t="n">
        <v>15</v>
      </c>
      <c r="F17" s="10" t="n">
        <f aca="false">D17*E17</f>
        <v>9000</v>
      </c>
      <c r="G17" s="0" t="s">
        <v>97</v>
      </c>
      <c r="H17" s="0" t="s">
        <v>79</v>
      </c>
      <c r="I17" s="0" t="s">
        <v>63</v>
      </c>
    </row>
    <row r="18" customFormat="false" ht="15" hidden="false" customHeight="false" outlineLevel="0" collapsed="false">
      <c r="A18" s="0" t="s">
        <v>98</v>
      </c>
      <c r="B18" s="0" t="s">
        <v>99</v>
      </c>
      <c r="C18" s="0" t="s">
        <v>100</v>
      </c>
      <c r="D18" s="10" t="n">
        <v>1</v>
      </c>
      <c r="E18" s="10" t="n">
        <v>2500</v>
      </c>
      <c r="F18" s="10" t="n">
        <f aca="false">D18*E18</f>
        <v>2500</v>
      </c>
      <c r="G18" s="0" t="s">
        <v>101</v>
      </c>
      <c r="H18" s="0" t="s">
        <v>79</v>
      </c>
      <c r="I18" s="0" t="s">
        <v>63</v>
      </c>
    </row>
    <row r="19" customFormat="false" ht="15" hidden="false" customHeight="false" outlineLevel="0" collapsed="false">
      <c r="A19" s="0" t="s">
        <v>102</v>
      </c>
      <c r="B19" s="0" t="s">
        <v>103</v>
      </c>
      <c r="C19" s="0" t="s">
        <v>61</v>
      </c>
      <c r="D19" s="10" t="n">
        <f aca="false">Dimensionamento!F7</f>
        <v>95</v>
      </c>
      <c r="E19" s="10" t="n">
        <v>80</v>
      </c>
      <c r="F19" s="10" t="n">
        <f aca="false">D19*E19</f>
        <v>7600</v>
      </c>
      <c r="G19" s="0" t="s">
        <v>104</v>
      </c>
      <c r="H19" s="0" t="s">
        <v>79</v>
      </c>
      <c r="I19" s="0" t="s">
        <v>63</v>
      </c>
    </row>
    <row r="20" customFormat="false" ht="15" hidden="false" customHeight="false" outlineLevel="0" collapsed="false">
      <c r="A20" s="0" t="s">
        <v>95</v>
      </c>
      <c r="B20" s="0" t="s">
        <v>105</v>
      </c>
      <c r="C20" s="0" t="s">
        <v>100</v>
      </c>
      <c r="D20" s="10" t="n">
        <v>1</v>
      </c>
      <c r="E20" s="10" t="n">
        <v>50000</v>
      </c>
      <c r="F20" s="10" t="n">
        <f aca="false">D20*E20</f>
        <v>50000</v>
      </c>
      <c r="G20" s="0" t="s">
        <v>106</v>
      </c>
      <c r="H20" s="0" t="s">
        <v>79</v>
      </c>
      <c r="I20" s="0" t="s">
        <v>63</v>
      </c>
      <c r="J20" s="0" t="s">
        <v>107</v>
      </c>
    </row>
    <row r="22" customFormat="false" ht="15" hidden="false" customHeight="false" outlineLevel="0" collapsed="false">
      <c r="A22" s="7" t="s">
        <v>108</v>
      </c>
      <c r="B22" s="7"/>
      <c r="C22" s="7"/>
      <c r="D22" s="7"/>
      <c r="E22" s="7"/>
    </row>
    <row r="23" customFormat="false" ht="15" hidden="false" customHeight="false" outlineLevel="0" collapsed="false">
      <c r="A23" s="0" t="s">
        <v>109</v>
      </c>
      <c r="B23" s="11" t="n">
        <f aca="false">SUM(F4:F20)</f>
        <v>243718.9</v>
      </c>
    </row>
    <row r="24" customFormat="false" ht="15" hidden="false" customHeight="false" outlineLevel="0" collapsed="false">
      <c r="A24" s="0" t="s">
        <v>14</v>
      </c>
      <c r="B24" s="11" t="n">
        <f aca="false">Premissas!B7</f>
        <v>250000</v>
      </c>
    </row>
    <row r="25" customFormat="false" ht="15" hidden="false" customHeight="false" outlineLevel="0" collapsed="false">
      <c r="A25" s="0" t="s">
        <v>110</v>
      </c>
      <c r="B25" s="11" t="n">
        <f aca="false">B24-B23</f>
        <v>6281.10000000001</v>
      </c>
    </row>
    <row r="26" customFormat="false" ht="15" hidden="false" customHeight="false" outlineLevel="0" collapsed="false">
      <c r="A26" s="0" t="s">
        <v>111</v>
      </c>
      <c r="B26" s="11" t="n">
        <f aca="false">B23/Premissas!B6</f>
        <v>162.479266666667</v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.51"/>
    <col collapsed="false" customWidth="true" hidden="false" outlineLevel="0" max="2" min="2" style="0" width="25.44"/>
    <col collapsed="false" customWidth="true" hidden="false" outlineLevel="0" max="3" min="3" style="0" width="12.79"/>
    <col collapsed="false" customWidth="true" hidden="false" outlineLevel="0" max="4" min="4" style="0" width="12.65"/>
    <col collapsed="false" customWidth="true" hidden="false" outlineLevel="0" max="5" min="5" style="0" width="13.73"/>
    <col collapsed="false" customWidth="true" hidden="false" outlineLevel="0" max="6" min="6" style="0" width="23.96"/>
  </cols>
  <sheetData>
    <row r="1" customFormat="false" ht="17.35" hidden="false" customHeight="false" outlineLevel="0" collapsed="false">
      <c r="A1" s="1" t="s">
        <v>112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</row>
    <row r="4" customFormat="false" ht="15" hidden="false" customHeight="false" outlineLevel="0" collapsed="false">
      <c r="A4" s="0" t="s">
        <v>119</v>
      </c>
      <c r="B4" s="5" t="n">
        <f aca="false">Premissas!B12/1000+1</f>
        <v>2.26247</v>
      </c>
      <c r="C4" s="5" t="n">
        <f aca="false">B4*0.35</f>
        <v>0.7918645</v>
      </c>
      <c r="D4" s="5" t="n">
        <f aca="false">7.2</f>
        <v>7.2</v>
      </c>
      <c r="E4" s="5" t="n">
        <f aca="false">13.5</f>
        <v>13.5</v>
      </c>
      <c r="F4" s="5" t="n">
        <f aca="false">C4+D4+E4+1+1+3</f>
        <v>26.4918645</v>
      </c>
    </row>
    <row r="5" customFormat="false" ht="15" hidden="false" customHeight="false" outlineLevel="0" collapsed="false">
      <c r="A5" s="0" t="s">
        <v>120</v>
      </c>
      <c r="B5" s="5" t="n">
        <f aca="false">Premissas!B13/1000+1</f>
        <v>2.45178</v>
      </c>
      <c r="C5" s="5" t="n">
        <f aca="false">B5*0.35</f>
        <v>0.858123</v>
      </c>
      <c r="D5" s="5" t="n">
        <f aca="false">7.2</f>
        <v>7.2</v>
      </c>
      <c r="E5" s="5" t="n">
        <f aca="false">13.5</f>
        <v>13.5</v>
      </c>
      <c r="F5" s="5" t="n">
        <f aca="false">C5+D5+E5+1+1+3</f>
        <v>26.558123</v>
      </c>
    </row>
    <row r="6" customFormat="false" ht="15" hidden="false" customHeight="false" outlineLevel="0" collapsed="false">
      <c r="A6" s="0" t="s">
        <v>121</v>
      </c>
      <c r="B6" s="5" t="n">
        <f aca="false">(Premissas!B13+Premissas!B14)/1000+1</f>
        <v>5.29875</v>
      </c>
      <c r="C6" s="5" t="n">
        <f aca="false">B6*0.35</f>
        <v>1.8545625</v>
      </c>
      <c r="D6" s="5" t="n">
        <f aca="false">7.2</f>
        <v>7.2</v>
      </c>
      <c r="E6" s="5" t="n">
        <f aca="false">13.5</f>
        <v>13.5</v>
      </c>
      <c r="F6" s="5" t="n">
        <f aca="false">C6+D6+E6+1+1+3</f>
        <v>27.5545625</v>
      </c>
    </row>
    <row r="8" customFormat="false" ht="15" hidden="false" customHeight="false" outlineLevel="0" collapsed="false">
      <c r="A8" s="2" t="s">
        <v>122</v>
      </c>
      <c r="B8" s="2" t="s">
        <v>2</v>
      </c>
    </row>
    <row r="9" customFormat="false" ht="15" hidden="false" customHeight="false" outlineLevel="0" collapsed="false">
      <c r="A9" s="0" t="s">
        <v>123</v>
      </c>
      <c r="B9" s="0" t="s">
        <v>124</v>
      </c>
    </row>
    <row r="10" customFormat="false" ht="15" hidden="false" customHeight="false" outlineLevel="0" collapsed="false">
      <c r="A10" s="0" t="s">
        <v>125</v>
      </c>
      <c r="B10" s="0" t="s">
        <v>126</v>
      </c>
    </row>
    <row r="11" customFormat="false" ht="15" hidden="false" customHeight="false" outlineLevel="0" collapsed="false">
      <c r="A11" s="0" t="s">
        <v>127</v>
      </c>
      <c r="B11" s="0" t="s">
        <v>128</v>
      </c>
    </row>
    <row r="12" customFormat="false" ht="15" hidden="false" customHeight="false" outlineLevel="0" collapsed="false">
      <c r="A12" s="0" t="s">
        <v>129</v>
      </c>
      <c r="B12" s="0" t="s">
        <v>130</v>
      </c>
    </row>
    <row r="13" customFormat="false" ht="15" hidden="false" customHeight="false" outlineLevel="0" collapsed="false">
      <c r="A13" s="0" t="s">
        <v>131</v>
      </c>
      <c r="B13" s="0" t="s">
        <v>132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.99"/>
    <col collapsed="false" customWidth="true" hidden="false" outlineLevel="0" max="2" min="2" style="0" width="8.48"/>
    <col collapsed="false" customWidth="true" hidden="false" outlineLevel="0" max="3" min="3" style="0" width="10.51"/>
    <col collapsed="false" customWidth="true" hidden="false" outlineLevel="0" max="4" min="4" style="0" width="4.03"/>
    <col collapsed="false" customWidth="true" hidden="false" outlineLevel="0" max="5" min="5" style="0" width="5.65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133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134</v>
      </c>
      <c r="B3" s="2" t="s">
        <v>2</v>
      </c>
    </row>
    <row r="4" customFormat="false" ht="15" hidden="false" customHeight="false" outlineLevel="0" collapsed="false">
      <c r="A4" s="0" t="s">
        <v>36</v>
      </c>
      <c r="B4" s="4" t="n">
        <f aca="false">Premissas!B6</f>
        <v>1500</v>
      </c>
    </row>
    <row r="5" customFormat="false" ht="15" hidden="false" customHeight="false" outlineLevel="0" collapsed="false">
      <c r="A5" s="0" t="s">
        <v>135</v>
      </c>
      <c r="B5" s="4" t="n">
        <f aca="false">Dimensionamento!E7</f>
        <v>25</v>
      </c>
    </row>
    <row r="6" customFormat="false" ht="15" hidden="false" customHeight="false" outlineLevel="0" collapsed="false">
      <c r="A6" s="0" t="s">
        <v>136</v>
      </c>
      <c r="B6" s="4" t="n">
        <f aca="false">Premissas!B8</f>
        <v>32</v>
      </c>
    </row>
    <row r="7" customFormat="false" ht="15" hidden="false" customHeight="false" outlineLevel="0" collapsed="false">
      <c r="A7" s="0" t="s">
        <v>137</v>
      </c>
      <c r="B7" s="4" t="n">
        <f aca="false">B6-B5</f>
        <v>7</v>
      </c>
    </row>
    <row r="8" customFormat="false" ht="15" hidden="false" customHeight="false" outlineLevel="0" collapsed="false">
      <c r="A8" s="0" t="s">
        <v>138</v>
      </c>
      <c r="B8" s="4" t="n">
        <f aca="false">Dimensionamento!F7</f>
        <v>95</v>
      </c>
    </row>
    <row r="9" customFormat="false" ht="15" hidden="false" customHeight="false" outlineLevel="0" collapsed="false">
      <c r="A9" s="0" t="s">
        <v>139</v>
      </c>
      <c r="B9" s="4" t="n">
        <f aca="false">Dimensionamento!G7</f>
        <v>25</v>
      </c>
    </row>
    <row r="10" customFormat="false" ht="15" hidden="false" customHeight="false" outlineLevel="0" collapsed="false">
      <c r="A10" s="0" t="s">
        <v>140</v>
      </c>
      <c r="B10" s="4" t="n">
        <f aca="false">Dimensionamento!F7</f>
        <v>95</v>
      </c>
    </row>
    <row r="11" customFormat="false" ht="15" hidden="false" customHeight="false" outlineLevel="0" collapsed="false">
      <c r="A11" s="0" t="s">
        <v>141</v>
      </c>
      <c r="B11" s="11" t="n">
        <f aca="false">Materiais!B23</f>
        <v>243718.9</v>
      </c>
    </row>
    <row r="13" customFormat="false" ht="15" hidden="false" customHeight="false" outlineLevel="0" collapsed="false">
      <c r="A13" s="2" t="s">
        <v>33</v>
      </c>
      <c r="B13" s="2" t="s">
        <v>142</v>
      </c>
      <c r="C13" s="2" t="s">
        <v>37</v>
      </c>
      <c r="D13" s="2" t="s">
        <v>143</v>
      </c>
      <c r="E13" s="2" t="s">
        <v>144</v>
      </c>
      <c r="F13" s="2" t="s">
        <v>4</v>
      </c>
    </row>
    <row r="14" customFormat="false" ht="15" hidden="false" customHeight="false" outlineLevel="0" collapsed="false">
      <c r="A14" s="0" t="str">
        <f aca="false">Dimensionamento!A4</f>
        <v>SD1</v>
      </c>
      <c r="B14" s="4" t="n">
        <f aca="false">Dimensionamento!D4</f>
        <v>225</v>
      </c>
      <c r="C14" s="4" t="n">
        <f aca="false">Dimensionamento!E4</f>
        <v>4</v>
      </c>
      <c r="D14" s="4" t="n">
        <f aca="false">Dimensionamento!F4</f>
        <v>15</v>
      </c>
      <c r="E14" s="6" t="n">
        <f aca="false">Dimensionamento!C4</f>
        <v>0.15</v>
      </c>
      <c r="F14" s="0" t="str">
        <f aca="false">Dimensionamento!H4</f>
        <v>Área menor, baixa/média densidade</v>
      </c>
    </row>
    <row r="15" customFormat="false" ht="15" hidden="false" customHeight="false" outlineLevel="0" collapsed="false">
      <c r="A15" s="0" t="str">
        <f aca="false">Dimensionamento!A5</f>
        <v>SD2</v>
      </c>
      <c r="B15" s="4" t="n">
        <f aca="false">Dimensionamento!D5</f>
        <v>525</v>
      </c>
      <c r="C15" s="4" t="n">
        <f aca="false">Dimensionamento!E5</f>
        <v>9</v>
      </c>
      <c r="D15" s="4" t="n">
        <f aca="false">Dimensionamento!F5</f>
        <v>33</v>
      </c>
      <c r="E15" s="6" t="n">
        <f aca="false">Dimensionamento!C5</f>
        <v>0.35</v>
      </c>
      <c r="F15" s="0" t="str">
        <f aca="false">Dimensionamento!H5</f>
        <v>Área intermediária</v>
      </c>
    </row>
    <row r="16" customFormat="false" ht="15" hidden="false" customHeight="false" outlineLevel="0" collapsed="false">
      <c r="A16" s="0" t="str">
        <f aca="false">Dimensionamento!A6</f>
        <v>SD3</v>
      </c>
      <c r="B16" s="4" t="n">
        <f aca="false">Dimensionamento!D6</f>
        <v>750</v>
      </c>
      <c r="C16" s="4" t="n">
        <f aca="false">Dimensionamento!E6</f>
        <v>12</v>
      </c>
      <c r="D16" s="4" t="n">
        <f aca="false">Dimensionamento!F6</f>
        <v>47</v>
      </c>
      <c r="E16" s="6" t="n">
        <f aca="false">Dimensionamento!C6</f>
        <v>0.5</v>
      </c>
      <c r="F16" s="0" t="str">
        <f aca="false">Dimensionamento!H6</f>
        <v>Maior área e maior concentração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2026-06-13T08:22:12Z</dcterms:modified>
  <cp:revision>1</cp:revision>
  <dc:subject/>
  <dc:title/>
</cp:coreProperties>
</file>